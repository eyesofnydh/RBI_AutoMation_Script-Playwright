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Known Defects" sheetId="3" state="visible" r:id="rId5"/>
    <sheet name="Page Inventory" sheetId="4" state="visible" r:id="rId6"/>
  </sheets>
  <definedNames>
    <definedName function="false" hidden="true" localSheetId="2" name="_xlnm._FilterDatabase" vbProcedure="false">'Known Defects'!$A$1:$L$16</definedName>
    <definedName function="false" hidden="true" localSheetId="3" name="_xlnm._FilterDatabase" vbProcedure="false">'Page Inventory'!$A$1:$G$63</definedName>
    <definedName function="false" hidden="true" localSheetId="1" name="_xlnm._FilterDatabase" vbProcedure="false">'Test Cases'!$A$1:$R$269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<sst xmlns="http://schemas.openxmlformats.org/spreadsheetml/2006/main" count="3995" uniqueCount="1416">
  <si>
    <t xml:space="preserve">RBI Website (stg-rbi.webc.in) — Test Case Summary</t>
  </si>
  <si>
    <t xml:space="preserve">All figures below are formulas over the "Test Cases" sheet — they update as you set Status.</t>
  </si>
  <si>
    <t xml:space="preserve">Total test cases</t>
  </si>
  <si>
    <t xml:space="preserve">Automated</t>
  </si>
  <si>
    <t xml:space="preserve">Manual</t>
  </si>
  <si>
    <t xml:space="preserve">Automation coverage</t>
  </si>
  <si>
    <t xml:space="preserve">Executed (Pass + Fail + Blocked)</t>
  </si>
  <si>
    <t xml:space="preserve">Pass rate (of executed)</t>
  </si>
  <si>
    <t xml:space="preserve">Known defects logged</t>
  </si>
  <si>
    <t xml:space="preserve">By Module</t>
  </si>
  <si>
    <t xml:space="preserve">Total</t>
  </si>
  <si>
    <t xml:space="preserve">Not Run</t>
  </si>
  <si>
    <t xml:space="preserve">Pass</t>
  </si>
  <si>
    <t xml:space="preserve">Fail</t>
  </si>
  <si>
    <t xml:space="preserve">Blocked</t>
  </si>
  <si>
    <t xml:space="preserve">N/A</t>
  </si>
  <si>
    <t xml:space="preserve">Access &amp; Environment</t>
  </si>
  <si>
    <t xml:space="preserve">Header</t>
  </si>
  <si>
    <t xml:space="preserve">Search</t>
  </si>
  <si>
    <t xml:space="preserve">Accessibility Toolbar</t>
  </si>
  <si>
    <t xml:space="preserve">Language</t>
  </si>
  <si>
    <t xml:space="preserve">Homepage</t>
  </si>
  <si>
    <t xml:space="preserve">Listing Pages</t>
  </si>
  <si>
    <t xml:space="preserve">Listing Filters</t>
  </si>
  <si>
    <t xml:space="preserve">Detail Pages</t>
  </si>
  <si>
    <t xml:space="preserve">Static &amp; Special Pages</t>
  </si>
  <si>
    <t xml:space="preserve">Footer</t>
  </si>
  <si>
    <t xml:space="preserve">Every Page (automated sweep)</t>
  </si>
  <si>
    <t xml:space="preserve">Responsive &amp; Compatibility</t>
  </si>
  <si>
    <t xml:space="preserve">Accessibility (manual)</t>
  </si>
  <si>
    <t xml:space="preserve">Performance</t>
  </si>
  <si>
    <t xml:space="preserve">SEO</t>
  </si>
  <si>
    <t xml:space="preserve">Error Handling</t>
  </si>
  <si>
    <t xml:space="preserve">By Type</t>
  </si>
  <si>
    <t xml:space="preserve">Accessibility</t>
  </si>
  <si>
    <t xml:space="preserve">Compatibility</t>
  </si>
  <si>
    <t xml:space="preserve">Content</t>
  </si>
  <si>
    <t xml:space="preserve">Edge</t>
  </si>
  <si>
    <t xml:space="preserve">Functional</t>
  </si>
  <si>
    <t xml:space="preserve">Negative</t>
  </si>
  <si>
    <t xml:space="preserve">Security</t>
  </si>
  <si>
    <t xml:space="preserve">UI</t>
  </si>
  <si>
    <t xml:space="preserve">By Priority</t>
  </si>
  <si>
    <t xml:space="preserve">P1</t>
  </si>
  <si>
    <t xml:space="preserve">P2</t>
  </si>
  <si>
    <t xml:space="preserve">P3</t>
  </si>
  <si>
    <t xml:space="preserve">How to use</t>
  </si>
  <si>
    <t xml:space="preserve">• Yellow columns on "Test Cases" (Status, Actual Result, Defect ID / Remarks, Tested By, Test Date) are for you to fill in.</t>
  </si>
  <si>
    <t xml:space="preserve">• Status is a dropdown: Not Run / Pass / Fail / Blocked / N/A. Colours update automatically.</t>
  </si>
  <si>
    <t xml:space="preserve">• "Automated In" names the Playwright spec that runs the case: npx playwright test &lt;spec&gt; (see README).</t>
  </si>
  <si>
    <t xml:space="preserve">• Red text in Expected Result = a KNOWN DEFECT already found on staging (see "Known Defects").</t>
  </si>
  <si>
    <t xml:space="preserve">• Priority: P1 = must pass before release, P2 = should pass, P3 = nice to have.</t>
  </si>
  <si>
    <t xml:space="preserve">• Example filled row: Status = Fail, Actual Result = "Footer link Forms opens 404", Defect ID = D-06, Tested By = your name, Test Date = 27-09-2026.</t>
  </si>
  <si>
    <t xml:space="preserve">TC ID</t>
  </si>
  <si>
    <t xml:space="preserve">Module</t>
  </si>
  <si>
    <t xml:space="preserve">Feature</t>
  </si>
  <si>
    <t xml:space="preserve">Page / URL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</si>
  <si>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</si>
  <si>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</si>
  <si>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</si>
  <si>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</si>
  <si>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</si>
  <si>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Type</t>
  </si>
  <si>
    <t xml:space="preserve">Priority</t>
  </si>
  <si>
    <t xml:space="preserve">Automation</t>
  </si>
  <si>
    <t xml:space="preserve">Automated In (spec)</t>
  </si>
  <si>
    <t xml:space="preserve">Status</t>
  </si>
  <si>
    <t xml:space="preserve">Actual Result</t>
  </si>
  <si>
    <t xml:space="preserve">Defect ID / Remarks</t>
  </si>
  <si>
    <t xml:space="preserve">Tested By</t>
  </si>
  <si>
    <t xml:space="preserve">Test Date</t>
  </si>
  <si>
    <t xml:space="preserve">TC-AE-001</t>
  </si>
  <si>
    <t xml:space="preserve">Basic auth</t>
  </si>
  <si>
    <t xml:space="preserve">/</t>
  </si>
  <si>
    <t xml:space="preserve">Site asks for credentials on first visit</t>
  </si>
  <si>
    <t xml:space="preserve">Fresh incognito window</t>
  </si>
  <si>
    <t xml:space="preserve">1. Open the staging URL</t>
  </si>
  <si>
    <t xml:space="preserve">Browser sign-in pop-up appears; page not shown until login</t>
  </si>
  <si>
    <t xml:space="preserve">TC-AE-002</t>
  </si>
  <si>
    <t xml:space="preserve">Valid credentials open the site</t>
  </si>
  <si>
    <t xml:space="preserve">1. Open staging URL
2. Enter valid username/password</t>
  </si>
  <si>
    <t xml:space="preserve">Valid staging credentials</t>
  </si>
  <si>
    <t xml:space="preserve">Homepage loads (HTTP 200)</t>
  </si>
  <si>
    <t xml:space="preserve">tests/crawl/pages.spec.ts</t>
  </si>
  <si>
    <t xml:space="preserve">TC-AE-003</t>
  </si>
  <si>
    <t xml:space="preserve">NEGATIVE: wrong password is rejected</t>
  </si>
  <si>
    <t xml:space="preserve">1. Open staging URL
2. Enter valid user + wrong password</t>
  </si>
  <si>
    <t xml:space="preserve">Wrong password</t>
  </si>
  <si>
    <t xml:space="preserve">HTTP 401; pop-up shown again; no content leaked</t>
  </si>
  <si>
    <t xml:space="preserve">TC-AE-004</t>
  </si>
  <si>
    <t xml:space="preserve">NEGATIVE: cancel the sign-in pop-up</t>
  </si>
  <si>
    <t xml:space="preserve">1. Open staging URL
2. Click Cancel</t>
  </si>
  <si>
    <t xml:space="preserve">401 page; no site content visible</t>
  </si>
  <si>
    <t xml:space="preserve">TC-AE-005</t>
  </si>
  <si>
    <t xml:space="preserve">HTTPS</t>
  </si>
  <si>
    <t xml:space="preserve">HTTP redirects to HTTPS</t>
  </si>
  <si>
    <t xml:space="preserve">1. Open http://stg-rbi.webc.in</t>
  </si>
  <si>
    <t xml:space="preserve">Redirects to https://; valid certificate, padlock shown</t>
  </si>
  <si>
    <t xml:space="preserve">TC-AE-006</t>
  </si>
  <si>
    <t xml:space="preserve">Security headers</t>
  </si>
  <si>
    <t xml:space="preserve">Security headers present</t>
  </si>
  <si>
    <t xml:space="preserve">1. Open DevTools → Network → document response headers</t>
  </si>
  <si>
    <t xml:space="preserve">Strict-Transport-Security, X-Content-Type-Options: nosniff, X-Frame-Options/CSP frame-ancestors, Referrer-Policy present</t>
  </si>
  <si>
    <t xml:space="preserve">TC-AE-007</t>
  </si>
  <si>
    <t xml:space="preserve">Clickjacking</t>
  </si>
  <si>
    <t xml:space="preserve">Site cannot be framed by another origin</t>
  </si>
  <si>
    <t xml:space="preserve">1. Create an HTML page with &lt;iframe src="staging URL"&gt;
2. Open it</t>
  </si>
  <si>
    <t xml:space="preserve">Frame refuses to load (X-Frame-Options / CSP)</t>
  </si>
  <si>
    <t xml:space="preserve">TC-AE-008</t>
  </si>
  <si>
    <t xml:space="preserve">Indexing</t>
  </si>
  <si>
    <t xml:space="preserve">Staging is not indexable by search engines</t>
  </si>
  <si>
    <t xml:space="preserve">1. Check robots meta / X-Robots-Tag on staging</t>
  </si>
  <si>
    <t xml:space="preserve">noindex present on staging (production must NOT have it)</t>
  </si>
  <si>
    <t xml:space="preserve">TC-H-001</t>
  </si>
  <si>
    <t xml:space="preserve">Logo</t>
  </si>
  <si>
    <t xml:space="preserve">All pages</t>
  </si>
  <si>
    <t xml:space="preserve">Logo visible and links to homepage</t>
  </si>
  <si>
    <t xml:space="preserve">Staging login done</t>
  </si>
  <si>
    <t xml:space="preserve">1. Open /press-releases
2. Click RBI logo</t>
  </si>
  <si>
    <t xml:space="preserve">Homepage opens</t>
  </si>
  <si>
    <t xml:space="preserve">tests/functional/header.spec.ts</t>
  </si>
  <si>
    <t xml:space="preserve">TC-H-002</t>
  </si>
  <si>
    <t xml:space="preserve">Logo image has alt text / accessible name</t>
  </si>
  <si>
    <t xml:space="preserve">1. Inspect logo link</t>
  </si>
  <si>
    <t xml:space="preserve">Link has accessible name e.g. "Reserve Bank of India – Home"</t>
  </si>
  <si>
    <t xml:space="preserve">TC-H-003</t>
  </si>
  <si>
    <t xml:space="preserve">Primary nav</t>
  </si>
  <si>
    <t xml:space="preserve">Press Releases link opens listing and is marked current</t>
  </si>
  <si>
    <t xml:space="preserve">1. Click "Press Releases" in header</t>
  </si>
  <si>
    <t xml:space="preserve">/press-releases opens; link has aria-current="page"</t>
  </si>
  <si>
    <t xml:space="preserve">TC-H-004</t>
  </si>
  <si>
    <t xml:space="preserve">Mega-menu</t>
  </si>
  <si>
    <t xml:space="preserve">"About RBI" mega-menu opens with links</t>
  </si>
  <si>
    <t xml:space="preserve">Staging login done; homepage open</t>
  </si>
  <si>
    <t xml:space="preserve">1. Click "About RBI"</t>
  </si>
  <si>
    <t xml:space="preserve">Panel opens; aria-expanded=true; links visible</t>
  </si>
  <si>
    <t xml:space="preserve">TC-H-005</t>
  </si>
  <si>
    <t xml:space="preserve">"Functions" mega-menu opens with links</t>
  </si>
  <si>
    <t xml:space="preserve">1. Click "Functions"</t>
  </si>
  <si>
    <t xml:space="preserve">TC-H-006</t>
  </si>
  <si>
    <t xml:space="preserve">Every mega-menu link resolves (no 404)</t>
  </si>
  <si>
    <t xml:space="preserve">1. Open each mega-menu
2. Visit every link</t>
  </si>
  <si>
    <t xml:space="preserve">All links return 200. KNOWN DEFECT: /regulation → 404</t>
  </si>
  <si>
    <t xml:space="preserve">TC-H-007</t>
  </si>
  <si>
    <t xml:space="preserve">Only one mega-menu open at a time</t>
  </si>
  <si>
    <t xml:space="preserve">1. Open About RBI
2. Click Functions</t>
  </si>
  <si>
    <t xml:space="preserve">About RBI closes; Functions opens</t>
  </si>
  <si>
    <t xml:space="preserve">TC-H-008</t>
  </si>
  <si>
    <t xml:space="preserve">Escape closes mega-menu and returns focus</t>
  </si>
  <si>
    <t xml:space="preserve">1. Open About RBI
2. Press Esc</t>
  </si>
  <si>
    <t xml:space="preserve">Menu closes; focus back on "About RBI"</t>
  </si>
  <si>
    <t xml:space="preserve">TC-H-009</t>
  </si>
  <si>
    <t xml:space="preserve">Click outside closes mega-menu</t>
  </si>
  <si>
    <t xml:space="preserve">1. Open Functions
2. Click on page body</t>
  </si>
  <si>
    <t xml:space="preserve">Menu closes</t>
  </si>
  <si>
    <t xml:space="preserve">TC-H-010</t>
  </si>
  <si>
    <t xml:space="preserve">Keyboard: Tab through mega-menu links</t>
  </si>
  <si>
    <t xml:space="preserve">1. Tab to About RBI, press Enter
2. Tab through links</t>
  </si>
  <si>
    <t xml:space="preserve">Focus moves through links in order; visible focus ring</t>
  </si>
  <si>
    <t xml:space="preserve">TC-H-011</t>
  </si>
  <si>
    <t xml:space="preserve">EDGE: rapid open/close clicking</t>
  </si>
  <si>
    <t xml:space="preserve">1. Click About RBI 10 times quickly</t>
  </si>
  <si>
    <t xml:space="preserve">Ends in consistent state; no flicker, no JS error</t>
  </si>
  <si>
    <t xml:space="preserve">tests/crawl/interactions.spec.ts</t>
  </si>
  <si>
    <t xml:space="preserve">TC-H-012</t>
  </si>
  <si>
    <t xml:space="preserve">Hamburger menu</t>
  </si>
  <si>
    <t xml:space="preserve">Menu opens and lists all sections</t>
  </si>
  <si>
    <t xml:space="preserve">1. Click "Menu"</t>
  </si>
  <si>
    <t xml:space="preserve">Full-screen/side menu shows sections; aria-expanded=true</t>
  </si>
  <si>
    <t xml:space="preserve">TC-H-013</t>
  </si>
  <si>
    <t xml:space="preserve">Menu closes with close button and Esc</t>
  </si>
  <si>
    <t xml:space="preserve">1. Open Menu
2. Click Close / press Esc</t>
  </si>
  <si>
    <t xml:space="preserve">Menu closes; page scroll restored</t>
  </si>
  <si>
    <t xml:space="preserve">TC-H-014</t>
  </si>
  <si>
    <t xml:space="preserve">All hamburger menu links resolve</t>
  </si>
  <si>
    <t xml:space="preserve">1. Open Menu
2. Visit every link</t>
  </si>
  <si>
    <t xml:space="preserve">All links return 200</t>
  </si>
  <si>
    <t xml:space="preserve">TC-H-015</t>
  </si>
  <si>
    <t xml:space="preserve">Focus is trapped inside open menu</t>
  </si>
  <si>
    <t xml:space="preserve">1. Open Menu
2. Press Tab repeatedly</t>
  </si>
  <si>
    <t xml:space="preserve">Focus cycles inside menu; does not reach page behind</t>
  </si>
  <si>
    <t xml:space="preserve">TC-H-016</t>
  </si>
  <si>
    <t xml:space="preserve">Page behind does not scroll while menu open</t>
  </si>
  <si>
    <t xml:space="preserve">1. Open Menu
2. Scroll mouse wheel</t>
  </si>
  <si>
    <t xml:space="preserve">Only the menu scrolls</t>
  </si>
  <si>
    <t xml:space="preserve">TC-H-017</t>
  </si>
  <si>
    <t xml:space="preserve">Skip link</t>
  </si>
  <si>
    <t xml:space="preserve">First Tab stop is "Skip to main content"</t>
  </si>
  <si>
    <t xml:space="preserve">1. Load page
2. Press Tab once</t>
  </si>
  <si>
    <t xml:space="preserve">Skip link becomes visible and focused</t>
  </si>
  <si>
    <t xml:space="preserve">TC-H-018</t>
  </si>
  <si>
    <t xml:space="preserve">Skip link moves focus into main content</t>
  </si>
  <si>
    <t xml:space="preserve">1. Tab to skip link
2. Press Enter</t>
  </si>
  <si>
    <t xml:space="preserve">Focus lands on &lt;main&gt;; next Tab goes to first content link</t>
  </si>
  <si>
    <t xml:space="preserve">TC-H-019</t>
  </si>
  <si>
    <t xml:space="preserve">Sticky header</t>
  </si>
  <si>
    <t xml:space="preserve">Header stays reachable after scrolling</t>
  </si>
  <si>
    <t xml:space="preserve">1. Scroll to bottom</t>
  </si>
  <si>
    <t xml:space="preserve">Header/menu button still visible (sticky) or reachable</t>
  </si>
  <si>
    <t xml:space="preserve">TC-H-020</t>
  </si>
  <si>
    <t xml:space="preserve">Header layout</t>
  </si>
  <si>
    <t xml:space="preserve">Header consistent across all page templates</t>
  </si>
  <si>
    <t xml:space="preserve">1. Visit home, listing, detail, static, search pages</t>
  </si>
  <si>
    <t xml:space="preserve">Same header layout, no shift, logo size consistent</t>
  </si>
  <si>
    <t xml:space="preserve">TC-S-001</t>
  </si>
  <si>
    <t xml:space="preserve">Header search</t>
  </si>
  <si>
    <t xml:space="preserve">Search with valid keyword shows results</t>
  </si>
  <si>
    <t xml:space="preserve">1. Type keyword in header search
2. Press Enter</t>
  </si>
  <si>
    <t xml:space="preserve">repo rate</t>
  </si>
  <si>
    <t xml:space="preserve">/search?q=repo+rate opens; heading "Search result for “repo rate”"; relevant results</t>
  </si>
  <si>
    <t xml:space="preserve">tests/functional/search.spec.ts</t>
  </si>
  <si>
    <t xml:space="preserve">TC-S-002</t>
  </si>
  <si>
    <t xml:space="preserve">Search via Search button (not Enter)</t>
  </si>
  <si>
    <t xml:space="preserve">1. Type keyword
2. Click magnifier button</t>
  </si>
  <si>
    <t xml:space="preserve">inflation</t>
  </si>
  <si>
    <t xml:space="preserve">Same results as pressing Enter</t>
  </si>
  <si>
    <t xml:space="preserve">TC-S-003</t>
  </si>
  <si>
    <t xml:space="preserve">Results</t>
  </si>
  <si>
    <t xml:space="preserve">/search</t>
  </si>
  <si>
    <t xml:space="preserve">Result count shown and numeric</t>
  </si>
  <si>
    <t xml:space="preserve">1. Search "repo rate"</t>
  </si>
  <si>
    <t xml:space="preserve">"Show N results" shows a number &gt; 0</t>
  </si>
  <si>
    <t xml:space="preserve">TC-S-004</t>
  </si>
  <si>
    <t xml:space="preserve">Clicking a result opens the right page</t>
  </si>
  <si>
    <t xml:space="preserve">1. Search
2. Click first result</t>
  </si>
  <si>
    <t xml:space="preserve">Correct detail page opens with matching title</t>
  </si>
  <si>
    <t xml:space="preserve">TC-S-005</t>
  </si>
  <si>
    <t xml:space="preserve">Results paginate (page 2, next, previous)</t>
  </si>
  <si>
    <t xml:space="preserve">1. Search
2. Click page 2, Next, Previous</t>
  </si>
  <si>
    <t xml:space="preserve">Results change per page; no duplicates across pages</t>
  </si>
  <si>
    <t xml:space="preserve">TC-S-006</t>
  </si>
  <si>
    <t xml:space="preserve">Items-per-page selector (5/10/20/50)</t>
  </si>
  <si>
    <t xml:space="preserve">1. Search
2. Change items per page</t>
  </si>
  <si>
    <t xml:space="preserve">Number of results per page matches selection</t>
  </si>
  <si>
    <t xml:space="preserve">TC-S-007</t>
  </si>
  <si>
    <t xml:space="preserve">Function filter narrows results</t>
  </si>
  <si>
    <t xml:space="preserve">1. Search
2. Tick a function (e.g. About Us)
3. Apply</t>
  </si>
  <si>
    <t xml:space="preserve">Only results for that function; count updates</t>
  </si>
  <si>
    <t xml:space="preserve">TC-S-008</t>
  </si>
  <si>
    <t xml:space="preserve">Date filter (month / custom range) narrows results</t>
  </si>
  <si>
    <t xml:space="preserve">1. Search
2. Pick month or custom date range</t>
  </si>
  <si>
    <t xml:space="preserve">repo rate; Jan 2020–Dec 2020</t>
  </si>
  <si>
    <t xml:space="preserve">Results only within range</t>
  </si>
  <si>
    <t xml:space="preserve">TC-S-009</t>
  </si>
  <si>
    <t xml:space="preserve">"Clear all" removes query and filters</t>
  </si>
  <si>
    <t xml:space="preserve">1. Search with filters
2. Click Clear all</t>
  </si>
  <si>
    <t xml:space="preserve">Filters/query cleared</t>
  </si>
  <si>
    <t xml:space="preserve">TC-S-010</t>
  </si>
  <si>
    <t xml:space="preserve">Search term is highlighted in results</t>
  </si>
  <si>
    <t xml:space="preserve">1. Search</t>
  </si>
  <si>
    <t xml:space="preserve">repo</t>
  </si>
  <si>
    <t xml:space="preserve">Matches highlighted (if designed)</t>
  </si>
  <si>
    <t xml:space="preserve">TC-S-011</t>
  </si>
  <si>
    <t xml:space="preserve">EDGE: no-results message</t>
  </si>
  <si>
    <t xml:space="preserve">1. Search gibberish</t>
  </si>
  <si>
    <t xml:space="preserve">zqxwvkjhg123</t>
  </si>
  <si>
    <t xml:space="preserve">"No results for …" message with suggestion; no error</t>
  </si>
  <si>
    <t xml:space="preserve">TC-S-012</t>
  </si>
  <si>
    <t xml:space="preserve">EDGE: empty search</t>
  </si>
  <si>
    <t xml:space="preserve">1. Leave box empty
2. Press Enter</t>
  </si>
  <si>
    <t xml:space="preserve">(empty)</t>
  </si>
  <si>
    <t xml:space="preserve">Validation message or no action; no crash</t>
  </si>
  <si>
    <t xml:space="preserve">TC-S-013</t>
  </si>
  <si>
    <t xml:space="preserve">EDGE: only spaces</t>
  </si>
  <si>
    <t xml:space="preserve">1. Enter spaces only
2. Press Enter</t>
  </si>
  <si>
    <t xml:space="preserve">"     "</t>
  </si>
  <si>
    <t xml:space="preserve">Treated as empty</t>
  </si>
  <si>
    <t xml:space="preserve">TC-S-014</t>
  </si>
  <si>
    <t xml:space="preserve">EDGE: max length 250 enforced</t>
  </si>
  <si>
    <t xml:space="preserve">1. Paste 400 characters</t>
  </si>
  <si>
    <t xml:space="preserve">'a' × 400</t>
  </si>
  <si>
    <t xml:space="preserve">Input stops at 250 characters</t>
  </si>
  <si>
    <t xml:space="preserve">TC-S-015</t>
  </si>
  <si>
    <t xml:space="preserve">EDGE: special characters</t>
  </si>
  <si>
    <t xml:space="preserve">1. Search special chars</t>
  </si>
  <si>
    <t xml:space="preserve">~!@#$%^&amp;*()"&lt;&gt;</t>
  </si>
  <si>
    <t xml:space="preserve">No error; handled safely</t>
  </si>
  <si>
    <t xml:space="preserve">TC-S-016</t>
  </si>
  <si>
    <t xml:space="preserve">EDGE: Hindi / Unicode / emoji query</t>
  </si>
  <si>
    <t xml:space="preserve">1. Search Unicode</t>
  </si>
  <si>
    <t xml:space="preserve">भारतीय रिज़र्व बैंक ₹ 😀</t>
  </si>
  <si>
    <t xml:space="preserve">No error; relevant or no-results message</t>
  </si>
  <si>
    <t xml:space="preserve">TC-S-017</t>
  </si>
  <si>
    <t xml:space="preserve">EDGE: case-insensitive</t>
  </si>
  <si>
    <t xml:space="preserve">1. Search "REPO RATE" then "repo rate"</t>
  </si>
  <si>
    <t xml:space="preserve">Same result count</t>
  </si>
  <si>
    <t xml:space="preserve">TC-S-018</t>
  </si>
  <si>
    <t xml:space="preserve">EDGE: leading/trailing spaces trimmed</t>
  </si>
  <si>
    <t xml:space="preserve">1. Search "  repo rate  "</t>
  </si>
  <si>
    <t xml:space="preserve">Same results as "repo rate"</t>
  </si>
  <si>
    <t xml:space="preserve">TC-S-019</t>
  </si>
  <si>
    <t xml:space="preserve">EDGE: direct URL with query</t>
  </si>
  <si>
    <t xml:space="preserve">1. Open /search?q=inflation directly</t>
  </si>
  <si>
    <t xml:space="preserve">Results load without using the box</t>
  </si>
  <si>
    <t xml:space="preserve">TC-S-020</t>
  </si>
  <si>
    <t xml:space="preserve">EDGE: browser Back after search</t>
  </si>
  <si>
    <t xml:space="preserve">1. Search
2. Open a result
3. Press Back</t>
  </si>
  <si>
    <t xml:space="preserve">Returns to same results page, same filters &amp; page number</t>
  </si>
  <si>
    <t xml:space="preserve">TC-S-021</t>
  </si>
  <si>
    <t xml:space="preserve">SECURITY: XSS in search box</t>
  </si>
  <si>
    <t xml:space="preserve">1. Search script payload</t>
  </si>
  <si>
    <t xml:space="preserve">&lt;script&gt;alert(1)&lt;/script&gt;</t>
  </si>
  <si>
    <t xml:space="preserve">Text shown escaped; no alert</t>
  </si>
  <si>
    <t xml:space="preserve">TC-S-022</t>
  </si>
  <si>
    <t xml:space="preserve">SECURITY: XSS in URL parameter</t>
  </si>
  <si>
    <t xml:space="preserve">1. Open /search?q=&lt;img src=x onerror=alert(1)&gt;</t>
  </si>
  <si>
    <t xml:space="preserve">No alert; payload shown as text</t>
  </si>
  <si>
    <t xml:space="preserve">TC-S-023</t>
  </si>
  <si>
    <t xml:space="preserve">SECURITY: SQL-like input</t>
  </si>
  <si>
    <t xml:space="preserve">1. Search SQL payload</t>
  </si>
  <si>
    <t xml:space="preserve">' OR '1'='1'; --</t>
  </si>
  <si>
    <t xml:space="preserve">No 500 error; no DB error text</t>
  </si>
  <si>
    <t xml:space="preserve">TC-S-024</t>
  </si>
  <si>
    <t xml:space="preserve">Mobile</t>
  </si>
  <si>
    <t xml:space="preserve">Search from mobile menu</t>
  </si>
  <si>
    <t xml:space="preserve">Mobile device / 375px</t>
  </si>
  <si>
    <t xml:space="preserve">1. Open Menu
2. Use search box in menu</t>
  </si>
  <si>
    <t xml:space="preserve">Results load</t>
  </si>
  <si>
    <t xml:space="preserve">TC-AT-001</t>
  </si>
  <si>
    <t xml:space="preserve">Panel</t>
  </si>
  <si>
    <t xml:space="preserve">Toolbar opens as dialog with 10 tools</t>
  </si>
  <si>
    <t xml:space="preserve">1. Click Accessibility icon</t>
  </si>
  <si>
    <t xml:space="preserve">Dialog shows Light, Dark, Increase Text, Decrease Text, Reset Text, Text Spacing, Line Height, Hide Images, Big Cursor, Screen Reader, Reset All</t>
  </si>
  <si>
    <t xml:space="preserve">tests/functional/accessibility-language.spec.ts</t>
  </si>
  <si>
    <t xml:space="preserve">TC-AT-002</t>
  </si>
  <si>
    <t xml:space="preserve">Close button and Esc close panel; focus returns</t>
  </si>
  <si>
    <t xml:space="preserve">1. Open panel
2. Close / Esc</t>
  </si>
  <si>
    <t xml:space="preserve">Panel closes; focus on Accessibility icon</t>
  </si>
  <si>
    <t xml:space="preserve">TC-AT-003</t>
  </si>
  <si>
    <t xml:space="preserve">Dark</t>
  </si>
  <si>
    <t xml:space="preserve">"Dark" changes the page and Reset All restores it</t>
  </si>
  <si>
    <t xml:space="preserve">1. Open panel
2. Click "Dark"
3. Click Reset All</t>
  </si>
  <si>
    <t xml:space="preserve">Dark theme applied; text readable (contrast ≥ 4.5:1); Reset All restores default</t>
  </si>
  <si>
    <t xml:space="preserve">TC-AT-004</t>
  </si>
  <si>
    <t xml:space="preserve">Increase Text</t>
  </si>
  <si>
    <t xml:space="preserve">"Increase Text" changes the page and Reset All restores it</t>
  </si>
  <si>
    <t xml:space="preserve">1. Open panel
2. Click "Increase Text"
3. Click Reset All</t>
  </si>
  <si>
    <t xml:space="preserve">Text grows (e.g. 16→16.8px); layout does not break; Reset All restores default</t>
  </si>
  <si>
    <t xml:space="preserve">TC-AT-005</t>
  </si>
  <si>
    <t xml:space="preserve">Decrease Text</t>
  </si>
  <si>
    <t xml:space="preserve">"Decrease Text" changes the page and Reset All restores it</t>
  </si>
  <si>
    <t xml:space="preserve">1. Open panel
2. Click "Decrease Text"
3. Click Reset All</t>
  </si>
  <si>
    <t xml:space="preserve">Text shrinks; stays readable; Reset All restores default</t>
  </si>
  <si>
    <t xml:space="preserve">TC-AT-006</t>
  </si>
  <si>
    <t xml:space="preserve">Text Spacing</t>
  </si>
  <si>
    <t xml:space="preserve">"Text Spacing" changes the page and Reset All restores it</t>
  </si>
  <si>
    <t xml:space="preserve">1. Open panel
2. Click "Text Spacing"
3. Click Reset All</t>
  </si>
  <si>
    <t xml:space="preserve">Letter/word spacing increases; Reset All restores default</t>
  </si>
  <si>
    <t xml:space="preserve">TC-AT-007</t>
  </si>
  <si>
    <t xml:space="preserve">Line Height</t>
  </si>
  <si>
    <t xml:space="preserve">"Line Height" changes the page and Reset All restores it</t>
  </si>
  <si>
    <t xml:space="preserve">1. Open panel
2. Click "Line Height"
3. Click Reset All</t>
  </si>
  <si>
    <t xml:space="preserve">Line height increases; Reset All restores default</t>
  </si>
  <si>
    <t xml:space="preserve">TC-AT-008</t>
  </si>
  <si>
    <t xml:space="preserve">Hide Images</t>
  </si>
  <si>
    <t xml:space="preserve">"Hide Images" changes the page and Reset All restores it</t>
  </si>
  <si>
    <t xml:space="preserve">1. Open panel
2. Click "Hide Images"
3. Click Reset All</t>
  </si>
  <si>
    <t xml:space="preserve">Images hidden; alt text / layout OK; Reset All restores default</t>
  </si>
  <si>
    <t xml:space="preserve">TC-AT-009</t>
  </si>
  <si>
    <t xml:space="preserve">Big Cursor</t>
  </si>
  <si>
    <t xml:space="preserve">"Big Cursor" changes the page and Reset All restores it</t>
  </si>
  <si>
    <t xml:space="preserve">1. Open panel
2. Click "Big Cursor"
3. Click Reset All</t>
  </si>
  <si>
    <t xml:space="preserve">Large cursor shown; Reset All restores default</t>
  </si>
  <si>
    <t xml:space="preserve">TC-AT-010</t>
  </si>
  <si>
    <t xml:space="preserve">Screen Reader</t>
  </si>
  <si>
    <t xml:space="preserve">"Screen Reader" changes the page and Reset All restores it</t>
  </si>
  <si>
    <t xml:space="preserve">1. Open panel
2. Click "Screen Reader"
3. Click Reset All</t>
  </si>
  <si>
    <t xml:space="preserve">Screen reader helper enabled (as designed); Reset All restores default</t>
  </si>
  <si>
    <t xml:space="preserve">TC-AT-011</t>
  </si>
  <si>
    <t xml:space="preserve">Text size</t>
  </si>
  <si>
    <t xml:space="preserve">EDGE: Increase Text clicked 10 times</t>
  </si>
  <si>
    <t xml:space="preserve">1. Click Increase Text 10×</t>
  </si>
  <si>
    <t xml:space="preserve">Stops at a max size; no overlapping text or horizontal scroll</t>
  </si>
  <si>
    <t xml:space="preserve">TC-AT-012</t>
  </si>
  <si>
    <t xml:space="preserve">EDGE: Decrease Text clicked 10 times</t>
  </si>
  <si>
    <t xml:space="preserve">1. Click Decrease Text 10×</t>
  </si>
  <si>
    <t xml:space="preserve">Stops at a min size; still readable</t>
  </si>
  <si>
    <t xml:space="preserve">TC-AT-013</t>
  </si>
  <si>
    <t xml:space="preserve">Reset Text returns to default size</t>
  </si>
  <si>
    <t xml:space="preserve">1. Increase twice
2. Reset Text</t>
  </si>
  <si>
    <t xml:space="preserve">Font size back to default</t>
  </si>
  <si>
    <t xml:space="preserve">TC-AT-014</t>
  </si>
  <si>
    <t xml:space="preserve">Theme</t>
  </si>
  <si>
    <t xml:space="preserve">Light / Dark are mutually exclusive</t>
  </si>
  <si>
    <t xml:space="preserve">1. Click Dark
2. Click Light</t>
  </si>
  <si>
    <t xml:space="preserve">Only one pressed at a time</t>
  </si>
  <si>
    <t xml:space="preserve">TC-AT-015</t>
  </si>
  <si>
    <t xml:space="preserve">Persistence</t>
  </si>
  <si>
    <t xml:space="preserve">Settings persist across pages</t>
  </si>
  <si>
    <t xml:space="preserve">1. Enable Dark
2. Navigate to another page</t>
  </si>
  <si>
    <t xml:space="preserve">Dark still applied</t>
  </si>
  <si>
    <t xml:space="preserve">TC-AT-016</t>
  </si>
  <si>
    <t xml:space="preserve">Settings persist after browser refresh</t>
  </si>
  <si>
    <t xml:space="preserve">1. Enable Increase Text
2. Refresh</t>
  </si>
  <si>
    <t xml:space="preserve">Setting kept (if designed) or reset consistently</t>
  </si>
  <si>
    <t xml:space="preserve">TC-AT-017</t>
  </si>
  <si>
    <t xml:space="preserve">Combination</t>
  </si>
  <si>
    <t xml:space="preserve">EDGE: all tools on at once</t>
  </si>
  <si>
    <t xml:space="preserve">1. Enable Dark + Increase Text ×3 + Text Spacing + Line Height + Hide Images</t>
  </si>
  <si>
    <t xml:space="preserve">Page still usable; no overlaps; menus work</t>
  </si>
  <si>
    <t xml:space="preserve">TC-AT-018</t>
  </si>
  <si>
    <t xml:space="preserve">Dark theme</t>
  </si>
  <si>
    <t xml:space="preserve">Dark mode on every template</t>
  </si>
  <si>
    <t xml:space="preserve">1. Enable Dark
2. Visit home, listing, detail, static, search, offices</t>
  </si>
  <si>
    <t xml:space="preserve">No white flashes, unreadable text or invisible icons</t>
  </si>
  <si>
    <t xml:space="preserve">TC-L-001</t>
  </si>
  <si>
    <t xml:space="preserve">Switch</t>
  </si>
  <si>
    <t xml:space="preserve">Change language opens language choice</t>
  </si>
  <si>
    <t xml:space="preserve">1. Click "Change language" icon</t>
  </si>
  <si>
    <t xml:space="preserve">Menu with हिन्दी / English. KNOWN DEFECT: nothing happens</t>
  </si>
  <si>
    <t xml:space="preserve">TC-L-002</t>
  </si>
  <si>
    <t xml:space="preserve">Switch to Hindi translates page</t>
  </si>
  <si>
    <t xml:space="preserve">1. Choose हिन्दी</t>
  </si>
  <si>
    <t xml:space="preserve">Content in Hindi; &lt;html lang="hi"&gt;; URL /hi/... KNOWN DEFECT: /hi → 404</t>
  </si>
  <si>
    <t xml:space="preserve">TC-L-003</t>
  </si>
  <si>
    <t xml:space="preserve">Inner pages</t>
  </si>
  <si>
    <t xml:space="preserve">Hindi on an inner page keeps same page</t>
  </si>
  <si>
    <t xml:space="preserve">1. Open /press-releases
2. Switch to Hindi</t>
  </si>
  <si>
    <t xml:space="preserve">Hindi version of Press Releases (not homepage)</t>
  </si>
  <si>
    <t xml:space="preserve">TC-L-004</t>
  </si>
  <si>
    <t xml:space="preserve">Switch back to English</t>
  </si>
  <si>
    <t xml:space="preserve">Hindi page open</t>
  </si>
  <si>
    <t xml:space="preserve">1. Choose English</t>
  </si>
  <si>
    <t xml:space="preserve">English content; lang="en"</t>
  </si>
  <si>
    <t xml:space="preserve">TC-L-005</t>
  </si>
  <si>
    <t xml:space="preserve">Hindi UI</t>
  </si>
  <si>
    <t xml:space="preserve">Devanagari renders correctly (no boxes)</t>
  </si>
  <si>
    <t xml:space="preserve">1. Check headings, menus, footer</t>
  </si>
  <si>
    <t xml:space="preserve">Correct font; no tofu boxes; no clipped matras</t>
  </si>
  <si>
    <t xml:space="preserve">TC-L-006</t>
  </si>
  <si>
    <t xml:space="preserve">EDGE: Hindi page with no translation</t>
  </si>
  <si>
    <t xml:space="preserve">1. Open a page with no Hindi content</t>
  </si>
  <si>
    <t xml:space="preserve">Friendly fallback (English or message), not 404</t>
  </si>
  <si>
    <t xml:space="preserve">TC-HO-001</t>
  </si>
  <si>
    <t xml:space="preserve">Hero</t>
  </si>
  <si>
    <t xml:space="preserve">Hero vision statement renders</t>
  </si>
  <si>
    <t xml:space="preserve">1. Load homepage</t>
  </si>
  <si>
    <t xml:space="preserve">"Continue excellence while enabling…" + "RBI's Vision Statement (Utkarsh 2029)"; lion image loads</t>
  </si>
  <si>
    <t xml:space="preserve">tests/functional/homepage.spec.ts</t>
  </si>
  <si>
    <t xml:space="preserve">TC-HO-002</t>
  </si>
  <si>
    <t xml:space="preserve">Page has one (screen-reader) H1</t>
  </si>
  <si>
    <t xml:space="preserve">1. Inspect headings</t>
  </si>
  <si>
    <t xml:space="preserve">Exactly one H1 "Reserve Bank of India"</t>
  </si>
  <si>
    <t xml:space="preserve">TC-HO-003</t>
  </si>
  <si>
    <t xml:space="preserve">Quick-access hub</t>
  </si>
  <si>
    <t xml:space="preserve">"Notifications" tile expands its panel</t>
  </si>
  <si>
    <t xml:space="preserve">1. Click "Notifications" tile</t>
  </si>
  <si>
    <t xml:space="preserve">Panel opens (aria-expanded=true) with links</t>
  </si>
  <si>
    <t xml:space="preserve">TC-HO-004</t>
  </si>
  <si>
    <t xml:space="preserve">"Citizen's Centre" tile expands its panel</t>
  </si>
  <si>
    <t xml:space="preserve">1. Click "Citizen's Centre" tile</t>
  </si>
  <si>
    <t xml:space="preserve">Panel opens (aria-expanded=true) with links; inner tabs Services / Information / Useful Links</t>
  </si>
  <si>
    <t xml:space="preserve">TC-HO-005</t>
  </si>
  <si>
    <t xml:space="preserve">"Citizen's Centre" inner tabs switch content</t>
  </si>
  <si>
    <t xml:space="preserve">1. Open "Citizen's Centre"
2. Click each inner tab</t>
  </si>
  <si>
    <t xml:space="preserve">Each tab shows its own panel; aria-selected updates</t>
  </si>
  <si>
    <t xml:space="preserve">TC-HO-006</t>
  </si>
  <si>
    <t xml:space="preserve">"Publications &amp; Research" tile expands its panel</t>
  </si>
  <si>
    <t xml:space="preserve">1. Click "Publications &amp; Research" tile</t>
  </si>
  <si>
    <t xml:space="preserve">Panel opens (aria-expanded=true) with links; inner tabs Publications / Research / Statistics</t>
  </si>
  <si>
    <t xml:space="preserve">TC-HO-007</t>
  </si>
  <si>
    <t xml:space="preserve">"Publications &amp; Research" inner tabs switch content</t>
  </si>
  <si>
    <t xml:space="preserve">1. Open "Publications &amp; Research"
2. Click each inner tab</t>
  </si>
  <si>
    <t xml:space="preserve">TC-HO-008</t>
  </si>
  <si>
    <t xml:space="preserve">"Speeches &amp; Media" tile expands its panel</t>
  </si>
  <si>
    <t xml:space="preserve">1. Click "Speeches &amp; Media" tile</t>
  </si>
  <si>
    <t xml:space="preserve">Panel opens (aria-expanded=true) with links; inner tabs Speeches / …</t>
  </si>
  <si>
    <t xml:space="preserve">TC-HO-009</t>
  </si>
  <si>
    <t xml:space="preserve">"Speeches &amp; Media" inner tabs switch content</t>
  </si>
  <si>
    <t xml:space="preserve">1. Open "Speeches &amp; Media"
2. Click each inner tab</t>
  </si>
  <si>
    <t xml:space="preserve">TC-HO-010</t>
  </si>
  <si>
    <t xml:space="preserve">Only one hub panel open at a time</t>
  </si>
  <si>
    <t xml:space="preserve">1. Open Notifications
2. Open Citizen's Centre</t>
  </si>
  <si>
    <t xml:space="preserve">Notifications closes</t>
  </si>
  <si>
    <t xml:space="preserve">TC-HO-011</t>
  </si>
  <si>
    <t xml:space="preserve">All links inside hub panels resolve</t>
  </si>
  <si>
    <t xml:space="preserve">1. Open each hub
2. Visit every link</t>
  </si>
  <si>
    <t xml:space="preserve">All 200</t>
  </si>
  <si>
    <t xml:space="preserve">TC-HO-012</t>
  </si>
  <si>
    <t xml:space="preserve">Announcements</t>
  </si>
  <si>
    <t xml:space="preserve">Ticker shows counter (e.g. 1/3)</t>
  </si>
  <si>
    <t xml:space="preserve">1. Look at announcement strip</t>
  </si>
  <si>
    <t xml:space="preserve">Counter and one announcement visible</t>
  </si>
  <si>
    <t xml:space="preserve">TC-HO-013</t>
  </si>
  <si>
    <t xml:space="preserve">Next arrow moves to next announcement</t>
  </si>
  <si>
    <t xml:space="preserve">1. Click Next</t>
  </si>
  <si>
    <t xml:space="preserve">Counter increments</t>
  </si>
  <si>
    <t xml:space="preserve">TC-HO-014</t>
  </si>
  <si>
    <t xml:space="preserve">Previous arrow moves back</t>
  </si>
  <si>
    <t xml:space="preserve">1. Click Next
2. Click Previous</t>
  </si>
  <si>
    <t xml:space="preserve">Counter decrements. SUSPECTED DEFECT: Previous does nothing</t>
  </si>
  <si>
    <t xml:space="preserve">TC-HO-015</t>
  </si>
  <si>
    <t xml:space="preserve">Pause stops auto-rotation; Play resumes</t>
  </si>
  <si>
    <t xml:space="preserve">1. Click Pause
2. Wait 10s
3. Click Play</t>
  </si>
  <si>
    <t xml:space="preserve">No change while paused; rotates after Play; label toggles Pause/Play</t>
  </si>
  <si>
    <t xml:space="preserve">TC-HO-016</t>
  </si>
  <si>
    <t xml:space="preserve">EDGE: Next on last / Previous on first</t>
  </si>
  <si>
    <t xml:space="preserve">1. Go to 3/3, click Next
2. Go to 1/3, click Previous</t>
  </si>
  <si>
    <t xml:space="preserve">Wraps around (or button disabled) — no blank slide</t>
  </si>
  <si>
    <t xml:space="preserve">TC-HO-017</t>
  </si>
  <si>
    <t xml:space="preserve">Announcement links open valid pages</t>
  </si>
  <si>
    <t xml:space="preserve">1. Click each announcement</t>
  </si>
  <si>
    <t xml:space="preserve">TC-HO-018</t>
  </si>
  <si>
    <t xml:space="preserve">Rotation pauses on hover/focus (WCAG 2.2.2)</t>
  </si>
  <si>
    <t xml:space="preserve">1. Hover / Tab into ticker</t>
  </si>
  <si>
    <t xml:space="preserve">Auto-rotation stops while hovered/focused</t>
  </si>
  <si>
    <t xml:space="preserve">TC-HO-019</t>
  </si>
  <si>
    <t xml:space="preserve">Current Rates</t>
  </si>
  <si>
    <t xml:space="preserve">Policy Rates tab shows Repo Rate %</t>
  </si>
  <si>
    <t xml:space="preserve">1. View Current Rates</t>
  </si>
  <si>
    <t xml:space="preserve">Policy Repo Rate shows a valid % (0–20), e.g. 5.25%</t>
  </si>
  <si>
    <t xml:space="preserve">TC-HO-020</t>
  </si>
  <si>
    <t xml:space="preserve">"Policy Rates" tab shows values</t>
  </si>
  <si>
    <t xml:space="preserve">1. Click "Policy Rates" tab</t>
  </si>
  <si>
    <t xml:space="preserve">Tab selected; panel shows numeric values; no NaN/undefined/blank</t>
  </si>
  <si>
    <t xml:space="preserve">TC-HO-021</t>
  </si>
  <si>
    <t xml:space="preserve">"Reserve Ratios" tab shows values</t>
  </si>
  <si>
    <t xml:space="preserve">1. Click "Reserve Ratios" tab</t>
  </si>
  <si>
    <t xml:space="preserve">TC-HO-022</t>
  </si>
  <si>
    <t xml:space="preserve">"Exchange Rates" tab shows values</t>
  </si>
  <si>
    <t xml:space="preserve">1. Click "Exchange Rates" tab</t>
  </si>
  <si>
    <t xml:space="preserve">TC-HO-023</t>
  </si>
  <si>
    <t xml:space="preserve">"Lending/ Deposit Rates" tab shows values</t>
  </si>
  <si>
    <t xml:space="preserve">1. Click "Lending/ Deposit Rates" tab</t>
  </si>
  <si>
    <t xml:space="preserve">TC-HO-024</t>
  </si>
  <si>
    <t xml:space="preserve">"Market Trends" tab shows values</t>
  </si>
  <si>
    <t xml:space="preserve">1. Click "Market Trends" tab</t>
  </si>
  <si>
    <t xml:space="preserve">TC-HO-025</t>
  </si>
  <si>
    <t xml:space="preserve">Rates match official source</t>
  </si>
  <si>
    <t xml:space="preserve">1. Compare each value with RBI data release</t>
  </si>
  <si>
    <t xml:space="preserve">rbi.org.in current rates</t>
  </si>
  <si>
    <t xml:space="preserve">Values and "as on" dates match</t>
  </si>
  <si>
    <t xml:space="preserve">TC-HO-026</t>
  </si>
  <si>
    <t xml:space="preserve">Rate tabs keyboard navigable (arrow keys)</t>
  </si>
  <si>
    <t xml:space="preserve">1. Tab into rate tabs
2. Use ← →</t>
  </si>
  <si>
    <t xml:space="preserve">Focus moves between tabs; Enter/Space activates</t>
  </si>
  <si>
    <t xml:space="preserve">TC-HO-027</t>
  </si>
  <si>
    <t xml:space="preserve">Governor's Desk</t>
  </si>
  <si>
    <t xml:space="preserve">Governor's Desk section renders</t>
  </si>
  <si>
    <t xml:space="preserve">1. Scroll to Governor's Desk</t>
  </si>
  <si>
    <t xml:space="preserve">Photo, name, links visible</t>
  </si>
  <si>
    <t xml:space="preserve">TC-HO-028</t>
  </si>
  <si>
    <t xml:space="preserve">Governor's Desk links resolve</t>
  </si>
  <si>
    <t xml:space="preserve">1. Click each link</t>
  </si>
  <si>
    <t xml:space="preserve">All 200. KNOWN DEFECT: /governor-monetary-policy-statements → 404</t>
  </si>
  <si>
    <t xml:space="preserve">tests/crawl/links.spec.ts</t>
  </si>
  <si>
    <t xml:space="preserve">TC-HO-029</t>
  </si>
  <si>
    <t xml:space="preserve">Latest Updates</t>
  </si>
  <si>
    <t xml:space="preserve">What's New / Sections Updated Today tabs switch</t>
  </si>
  <si>
    <t xml:space="preserve">1. Click each tab</t>
  </si>
  <si>
    <t xml:space="preserve">Tab selected; its panel shows</t>
  </si>
  <si>
    <t xml:space="preserve">TC-HO-030</t>
  </si>
  <si>
    <t xml:space="preserve">What's New items show type, date and title</t>
  </si>
  <si>
    <t xml:space="preserve">1. View What's New</t>
  </si>
  <si>
    <t xml:space="preserve">Each item: category (e.g. Press Releases) | date (Month DD, YYYY) | title</t>
  </si>
  <si>
    <t xml:space="preserve">TC-HO-031</t>
  </si>
  <si>
    <t xml:space="preserve">What's New items open detail pages</t>
  </si>
  <si>
    <t xml:space="preserve">1. Click an item</t>
  </si>
  <si>
    <t xml:space="preserve">Correct detail page opens</t>
  </si>
  <si>
    <t xml:space="preserve">TC-HO-032</t>
  </si>
  <si>
    <t xml:space="preserve">Items sorted newest first</t>
  </si>
  <si>
    <t xml:space="preserve">1. Read dates in What's New</t>
  </si>
  <si>
    <t xml:space="preserve">Dates in descending order</t>
  </si>
  <si>
    <t xml:space="preserve">TC-HO-033</t>
  </si>
  <si>
    <t xml:space="preserve">EDGE: "Sections Updated Today" with nothing updated</t>
  </si>
  <si>
    <t xml:space="preserve">1. Check on a day with no updates</t>
  </si>
  <si>
    <t xml:space="preserve">Friendly empty message, not blank panel</t>
  </si>
  <si>
    <t xml:space="preserve">TC-LP-001</t>
  </si>
  <si>
    <t xml:space="preserve">Load</t>
  </si>
  <si>
    <t xml:space="preserve">/press-releases</t>
  </si>
  <si>
    <t xml:space="preserve">Listing loads with title, breadcrumb and items</t>
  </si>
  <si>
    <t xml:space="preserve">1. Open /press-releases</t>
  </si>
  <si>
    <t xml:space="preserve">H1, breadcrumb (Home &gt; …), item cards with date + title</t>
  </si>
  <si>
    <t xml:space="preserve">tests/functional/listings.spec.ts</t>
  </si>
  <si>
    <t xml:space="preserve">TC-LP-002</t>
  </si>
  <si>
    <t xml:space="preserve">Detail link</t>
  </si>
  <si>
    <t xml:space="preserve">First item opens its detail page</t>
  </si>
  <si>
    <t xml:space="preserve">1. Open /press-releases
2. Click first item</t>
  </si>
  <si>
    <t xml:space="preserve">Detail page title matches card title</t>
  </si>
  <si>
    <t xml:space="preserve">TC-LP-003</t>
  </si>
  <si>
    <t xml:space="preserve">/notifications/master-directions</t>
  </si>
  <si>
    <t xml:space="preserve">1. Open /notifications/master-directions</t>
  </si>
  <si>
    <t xml:space="preserve">TC-LP-004</t>
  </si>
  <si>
    <t xml:space="preserve">1. Open /notifications/master-directions
2. Click first item</t>
  </si>
  <si>
    <t xml:space="preserve">TC-LP-005</t>
  </si>
  <si>
    <t xml:space="preserve">/notifications/master-circulars</t>
  </si>
  <si>
    <t xml:space="preserve">1. Open /notifications/master-circulars</t>
  </si>
  <si>
    <t xml:space="preserve">TC-LP-006</t>
  </si>
  <si>
    <t xml:space="preserve">1. Open /notifications/master-circulars
2. Click first item</t>
  </si>
  <si>
    <t xml:space="preserve">TC-LP-007</t>
  </si>
  <si>
    <t xml:space="preserve">/notifications/amendment-directions</t>
  </si>
  <si>
    <t xml:space="preserve">1. Open /notifications/amendment-directions</t>
  </si>
  <si>
    <t xml:space="preserve">TC-LP-008</t>
  </si>
  <si>
    <t xml:space="preserve">1. Open /notifications/amendment-directions
2. Click first item</t>
  </si>
  <si>
    <t xml:space="preserve">TC-LP-009</t>
  </si>
  <si>
    <t xml:space="preserve">/notifications/standalone-circulars</t>
  </si>
  <si>
    <t xml:space="preserve">1. Open /notifications/standalone-circulars</t>
  </si>
  <si>
    <t xml:space="preserve">TC-LP-010</t>
  </si>
  <si>
    <t xml:space="preserve">1. Open /notifications/standalone-circulars
2. Click first item</t>
  </si>
  <si>
    <t xml:space="preserve">TC-LP-011</t>
  </si>
  <si>
    <t xml:space="preserve">/notifications/circular-withdrawn</t>
  </si>
  <si>
    <t xml:space="preserve">1. Open /notifications/circular-withdrawn</t>
  </si>
  <si>
    <t xml:space="preserve">TC-LP-012</t>
  </si>
  <si>
    <t xml:space="preserve">1. Open /notifications/circular-withdrawn
2. Click first item</t>
  </si>
  <si>
    <t xml:space="preserve">TC-LP-013</t>
  </si>
  <si>
    <t xml:space="preserve">/notifications/draft-notifications</t>
  </si>
  <si>
    <t xml:space="preserve">1. Open /notifications/draft-notifications</t>
  </si>
  <si>
    <t xml:space="preserve">TC-LP-014</t>
  </si>
  <si>
    <t xml:space="preserve">1. Open /notifications/draft-notifications
2. Click first item</t>
  </si>
  <si>
    <t xml:space="preserve">TC-LP-015</t>
  </si>
  <si>
    <t xml:space="preserve">/notifications/draft-directions-re-wise</t>
  </si>
  <si>
    <t xml:space="preserve">1. Open /notifications/draft-directions-re-wise</t>
  </si>
  <si>
    <t xml:space="preserve">TC-LP-016</t>
  </si>
  <si>
    <t xml:space="preserve">1. Open /notifications/draft-directions-re-wise
2. Click first item</t>
  </si>
  <si>
    <t xml:space="preserve">TC-LP-017</t>
  </si>
  <si>
    <t xml:space="preserve">/notifications/index-to-rbi-circulars</t>
  </si>
  <si>
    <t xml:space="preserve">1. Open /notifications/index-to-rbi-circulars</t>
  </si>
  <si>
    <t xml:space="preserve">TC-LP-018</t>
  </si>
  <si>
    <t xml:space="preserve">1. Open /notifications/index-to-rbi-circulars
2. Click first item</t>
  </si>
  <si>
    <t xml:space="preserve">TC-LP-019</t>
  </si>
  <si>
    <t xml:space="preserve">/faqs</t>
  </si>
  <si>
    <t xml:space="preserve">1. Open /faqs</t>
  </si>
  <si>
    <t xml:space="preserve">TC-LP-020</t>
  </si>
  <si>
    <t xml:space="preserve">1. Open /faqs
2. Click first item</t>
  </si>
  <si>
    <t xml:space="preserve">TC-LP-021</t>
  </si>
  <si>
    <t xml:space="preserve">/speech-and-media/media-interactions</t>
  </si>
  <si>
    <t xml:space="preserve">1. Open /speech-and-media/media-interactions</t>
  </si>
  <si>
    <t xml:space="preserve">TC-LP-022</t>
  </si>
  <si>
    <t xml:space="preserve">1. Open /speech-and-media/media-interactions
2. Click first item</t>
  </si>
  <si>
    <t xml:space="preserve">TC-LP-023</t>
  </si>
  <si>
    <t xml:space="preserve">/speech-and-media/podcasts</t>
  </si>
  <si>
    <t xml:space="preserve">1. Open /speech-and-media/podcasts</t>
  </si>
  <si>
    <t xml:space="preserve">TC-LP-024</t>
  </si>
  <si>
    <t xml:space="preserve">1. Open /speech-and-media/podcasts
2. Click first item</t>
  </si>
  <si>
    <t xml:space="preserve">TC-LP-025</t>
  </si>
  <si>
    <t xml:space="preserve">/publications/working-papers</t>
  </si>
  <si>
    <t xml:space="preserve">1. Open /publications/working-papers</t>
  </si>
  <si>
    <t xml:space="preserve">TC-LP-026</t>
  </si>
  <si>
    <t xml:space="preserve">1. Open /publications/working-papers
2. Click first item</t>
  </si>
  <si>
    <t xml:space="preserve">TC-LF-001</t>
  </si>
  <si>
    <t xml:space="preserve">Year</t>
  </si>
  <si>
    <t xml:space="preserve">All listings</t>
  </si>
  <si>
    <t xml:space="preserve">Year dropdown lists years and filters</t>
  </si>
  <si>
    <t xml:space="preserve">1. Click Select year
2. Choose 2025</t>
  </si>
  <si>
    <t xml:space="preserve">2025</t>
  </si>
  <si>
    <t xml:space="preserve">Button shows 2025; only 2025 items</t>
  </si>
  <si>
    <t xml:space="preserve">tests/functional/templates.spec.ts</t>
  </si>
  <si>
    <t xml:space="preserve">TC-LF-002</t>
  </si>
  <si>
    <t xml:space="preserve">Month</t>
  </si>
  <si>
    <t xml:space="preserve">Month dropdown lists 12 months and filters</t>
  </si>
  <si>
    <t xml:space="preserve">1. Click Select month
2. Choose March</t>
  </si>
  <si>
    <t xml:space="preserve">March</t>
  </si>
  <si>
    <t xml:space="preserve">Only March items</t>
  </si>
  <si>
    <t xml:space="preserve">TC-LF-003</t>
  </si>
  <si>
    <t xml:space="preserve">Year+Month</t>
  </si>
  <si>
    <t xml:space="preserve">Year + Month together</t>
  </si>
  <si>
    <t xml:space="preserve">1. Year 2024
2. Month June</t>
  </si>
  <si>
    <t xml:space="preserve">2024 / June</t>
  </si>
  <si>
    <t xml:space="preserve">Only June 2024 items</t>
  </si>
  <si>
    <t xml:space="preserve">TC-LF-004</t>
  </si>
  <si>
    <t xml:space="preserve">Dropdown</t>
  </si>
  <si>
    <t xml:space="preserve">Dropdowns keyboard operable</t>
  </si>
  <si>
    <t xml:space="preserve">1. Tab to year
2. Enter, ↓, Enter, Esc</t>
  </si>
  <si>
    <t xml:space="preserve">Opens, moves, selects, closes</t>
  </si>
  <si>
    <t xml:space="preserve">TC-LF-005</t>
  </si>
  <si>
    <t xml:space="preserve">Date range</t>
  </si>
  <si>
    <t xml:space="preserve">Custom date range filters</t>
  </si>
  <si>
    <t xml:space="preserve">1. Click "Filter using custom date"
2. Pick From and To
3. Apply</t>
  </si>
  <si>
    <t xml:space="preserve">01-Jan-2024 to 31-Mar-2024</t>
  </si>
  <si>
    <t xml:space="preserve">Only items in range</t>
  </si>
  <si>
    <t xml:space="preserve">TC-LF-006</t>
  </si>
  <si>
    <t xml:space="preserve">EDGE: From date after To date</t>
  </si>
  <si>
    <t xml:space="preserve">1. From 31-Dec-2026, To 01-Jan-2020
2. Apply</t>
  </si>
  <si>
    <t xml:space="preserve">Validation message or dates swapped; no error</t>
  </si>
  <si>
    <t xml:space="preserve">TC-LF-007</t>
  </si>
  <si>
    <t xml:space="preserve">EDGE: future date range</t>
  </si>
  <si>
    <t xml:space="preserve">1. Range in the future</t>
  </si>
  <si>
    <t xml:space="preserve">01-Jan-2030 to 31-Dec-2030</t>
  </si>
  <si>
    <t xml:space="preserve">Future dates disabled or no-results message</t>
  </si>
  <si>
    <t xml:space="preserve">TC-LF-008</t>
  </si>
  <si>
    <t xml:space="preserve">EDGE: same From and To date</t>
  </si>
  <si>
    <t xml:space="preserve">1. From = To</t>
  </si>
  <si>
    <t xml:space="preserve">03-Jul-2026</t>
  </si>
  <si>
    <t xml:space="preserve">Items of that day only</t>
  </si>
  <si>
    <t xml:space="preserve">TC-LF-009</t>
  </si>
  <si>
    <t xml:space="preserve">EDGE: only From date set</t>
  </si>
  <si>
    <t xml:space="preserve">1. Set From only
2. Apply</t>
  </si>
  <si>
    <t xml:space="preserve">Validation or open-ended range</t>
  </si>
  <si>
    <t xml:space="preserve">TC-LF-010</t>
  </si>
  <si>
    <t xml:space="preserve">Clear resets date range</t>
  </si>
  <si>
    <t xml:space="preserve">1. Set range
2. Clear</t>
  </si>
  <si>
    <t xml:space="preserve">Dates back to "Select date"; full list</t>
  </si>
  <si>
    <t xml:space="preserve">TC-LF-011</t>
  </si>
  <si>
    <t xml:space="preserve">Function filter</t>
  </si>
  <si>
    <t xml:space="preserve">/press-releases, /faqs</t>
  </si>
  <si>
    <t xml:space="preserve">Category checkbox filters and shows count</t>
  </si>
  <si>
    <t xml:space="preserve">1. Tick "About Us (137)"</t>
  </si>
  <si>
    <t xml:space="preserve">Results = 137; list only that category</t>
  </si>
  <si>
    <t xml:space="preserve">TC-LF-012</t>
  </si>
  <si>
    <t xml:space="preserve">Multiple categories combine (OR)</t>
  </si>
  <si>
    <t xml:space="preserve">1. Tick two categories</t>
  </si>
  <si>
    <t xml:space="preserve">Results = sum of both counts (or documented logic)</t>
  </si>
  <si>
    <t xml:space="preserve">TC-LF-013</t>
  </si>
  <si>
    <t xml:space="preserve">Category search box filters the checkbox list</t>
  </si>
  <si>
    <t xml:space="preserve">1. Type "Co-operative" in category search</t>
  </si>
  <si>
    <t xml:space="preserve">Co-operative</t>
  </si>
  <si>
    <t xml:space="preserve">Only matching categories shown</t>
  </si>
  <si>
    <t xml:space="preserve">TC-LF-014</t>
  </si>
  <si>
    <t xml:space="preserve">"View N more" expands category list</t>
  </si>
  <si>
    <t xml:space="preserve">1. Click "View 9 more"</t>
  </si>
  <si>
    <t xml:space="preserve">More categories shown; button toggles to "View less"</t>
  </si>
  <si>
    <t xml:space="preserve">TC-LF-015</t>
  </si>
  <si>
    <t xml:space="preserve">EDGE: category search with no match</t>
  </si>
  <si>
    <t xml:space="preserve">1. Type "zzzz"</t>
  </si>
  <si>
    <t xml:space="preserve">zzzz</t>
  </si>
  <si>
    <t xml:space="preserve">"No matching categories" message</t>
  </si>
  <si>
    <t xml:space="preserve">TC-LF-016</t>
  </si>
  <si>
    <t xml:space="preserve">Keyword</t>
  </si>
  <si>
    <t xml:space="preserve">Keyword search inside listing</t>
  </si>
  <si>
    <t xml:space="preserve">1. Type "Treasury Bills" in listing search
2. Enter</t>
  </si>
  <si>
    <t xml:space="preserve">Treasury Bills</t>
  </si>
  <si>
    <t xml:space="preserve">Only matching items</t>
  </si>
  <si>
    <t xml:space="preserve">TC-LF-017</t>
  </si>
  <si>
    <t xml:space="preserve">Sort</t>
  </si>
  <si>
    <t xml:space="preserve">Sort Newest first / Oldest first</t>
  </si>
  <si>
    <t xml:space="preserve">1. Change sort to Oldest first</t>
  </si>
  <si>
    <t xml:space="preserve">Order reverses; dates ascending</t>
  </si>
  <si>
    <t xml:space="preserve">TC-LF-018</t>
  </si>
  <si>
    <t xml:space="preserve">Page size</t>
  </si>
  <si>
    <t xml:space="preserve">Items per page (10/20/50)</t>
  </si>
  <si>
    <t xml:space="preserve">1. Change to 50</t>
  </si>
  <si>
    <t xml:space="preserve">50 cards shown</t>
  </si>
  <si>
    <t xml:space="preserve">TC-LF-019</t>
  </si>
  <si>
    <t xml:space="preserve">Pagination</t>
  </si>
  <si>
    <t xml:space="preserve">Page numbers, Next, Previous work</t>
  </si>
  <si>
    <t xml:space="preserve">1. Click 2, Next, Previous</t>
  </si>
  <si>
    <t xml:space="preserve">Items change; current page highlighted; Previous disabled on page 1</t>
  </si>
  <si>
    <t xml:space="preserve">TC-LF-020</t>
  </si>
  <si>
    <t xml:space="preserve">Last page reachable</t>
  </si>
  <si>
    <t xml:space="preserve">1. Click last page number (e.g. 3074)</t>
  </si>
  <si>
    <t xml:space="preserve">Last items load; Next disabled</t>
  </si>
  <si>
    <t xml:space="preserve">TC-LF-021</t>
  </si>
  <si>
    <t xml:space="preserve">EDGE: page number far beyond last in URL</t>
  </si>
  <si>
    <t xml:space="preserve">1. Open ?page=999999</t>
  </si>
  <si>
    <t xml:space="preserve">Empty state or last page; no 500</t>
  </si>
  <si>
    <t xml:space="preserve">TC-LF-022</t>
  </si>
  <si>
    <t xml:space="preserve">EDGE: garbage query params</t>
  </si>
  <si>
    <t xml:space="preserve">1. Open ?year=abcd&amp;month=99&amp;page=-1</t>
  </si>
  <si>
    <t xml:space="preserve">Page loads with defaults; no 500</t>
  </si>
  <si>
    <t xml:space="preserve">TC-LF-023</t>
  </si>
  <si>
    <t xml:space="preserve">Filters</t>
  </si>
  <si>
    <t xml:space="preserve">Filters kept in URL / after Back</t>
  </si>
  <si>
    <t xml:space="preserve">1. Apply filters
2. Open item
3. Back</t>
  </si>
  <si>
    <t xml:space="preserve">Same filters and page restored</t>
  </si>
  <si>
    <t xml:space="preserve">TC-LF-024</t>
  </si>
  <si>
    <t xml:space="preserve">"Show N results" matches items shown</t>
  </si>
  <si>
    <t xml:space="preserve">1. Apply filter
2. Compare count and cards</t>
  </si>
  <si>
    <t xml:space="preserve">Counts equal</t>
  </si>
  <si>
    <t xml:space="preserve">TC-LF-025</t>
  </si>
  <si>
    <t xml:space="preserve">Filter with zero results shows empty state</t>
  </si>
  <si>
    <t xml:space="preserve">1. Choose filters with no data</t>
  </si>
  <si>
    <t xml:space="preserve">"No results" message + Clear filters</t>
  </si>
  <si>
    <t xml:space="preserve">TC-LF-026</t>
  </si>
  <si>
    <t xml:space="preserve">Mobile filter panel opens/closes</t>
  </si>
  <si>
    <t xml:space="preserve">Mobile 375px</t>
  </si>
  <si>
    <t xml:space="preserve">1. Tap Filters
2. Tap Close filters</t>
  </si>
  <si>
    <t xml:space="preserve">Panel slides in/out; body not scrollable behind</t>
  </si>
  <si>
    <t xml:space="preserve">TC-DP-001</t>
  </si>
  <si>
    <t xml:space="preserve">Press release</t>
  </si>
  <si>
    <t xml:space="preserve">/press-releases/…</t>
  </si>
  <si>
    <t xml:space="preserve">Press release: title, date, breadcrumb present</t>
  </si>
  <si>
    <t xml:space="preserve">1. Open any press release</t>
  </si>
  <si>
    <t xml:space="preserve">H1, date (&lt;time&gt;), breadcrumb, Last Updated On</t>
  </si>
  <si>
    <t xml:space="preserve">TC-DP-002</t>
  </si>
  <si>
    <t xml:space="preserve">Press release: PDF link opens a valid PDF in new tab</t>
  </si>
  <si>
    <t xml:space="preserve">1. Click PDF link</t>
  </si>
  <si>
    <t xml:space="preserve">Opens in new tab; file is a real PDF; size label (e.g. 209 KB) correct</t>
  </si>
  <si>
    <t xml:space="preserve">TC-DP-003</t>
  </si>
  <si>
    <t xml:space="preserve">Notification / circular</t>
  </si>
  <si>
    <t xml:space="preserve">/notifications/master-directions/…</t>
  </si>
  <si>
    <t xml:space="preserve">Notification / circular: title, date, breadcrumb present</t>
  </si>
  <si>
    <t xml:space="preserve">1. Open any notification / circular</t>
  </si>
  <si>
    <t xml:space="preserve">TC-DP-004</t>
  </si>
  <si>
    <t xml:space="preserve">Notification / circular: PDF link opens a valid PDF in new tab</t>
  </si>
  <si>
    <t xml:space="preserve">TC-DP-005</t>
  </si>
  <si>
    <t xml:space="preserve">FAQ</t>
  </si>
  <si>
    <t xml:space="preserve">/faqs/…</t>
  </si>
  <si>
    <t xml:space="preserve">FAQ: title, date, breadcrumb present</t>
  </si>
  <si>
    <t xml:space="preserve">1. Open any faq</t>
  </si>
  <si>
    <t xml:space="preserve">TC-DP-006</t>
  </si>
  <si>
    <t xml:space="preserve">FAQ: PDF link opens a valid PDF in new tab</t>
  </si>
  <si>
    <t xml:space="preserve">TC-DP-007</t>
  </si>
  <si>
    <t xml:space="preserve">Media interaction transcript</t>
  </si>
  <si>
    <t xml:space="preserve">/speech-and-media/media-interactions/…</t>
  </si>
  <si>
    <t xml:space="preserve">Media interaction transcript: title, date, breadcrumb present</t>
  </si>
  <si>
    <t xml:space="preserve">1. Open any media interaction transcript</t>
  </si>
  <si>
    <t xml:space="preserve">TC-DP-008</t>
  </si>
  <si>
    <t xml:space="preserve">Media interaction transcript: PDF link opens a valid PDF in new tab</t>
  </si>
  <si>
    <t xml:space="preserve">TC-DP-009</t>
  </si>
  <si>
    <t xml:space="preserve">Publication</t>
  </si>
  <si>
    <t xml:space="preserve">/publications/annual/…</t>
  </si>
  <si>
    <t xml:space="preserve">Publication: title, date, breadcrumb present</t>
  </si>
  <si>
    <t xml:space="preserve">1. Open any publication</t>
  </si>
  <si>
    <t xml:space="preserve">TC-DP-010</t>
  </si>
  <si>
    <t xml:space="preserve">Publication: PDF link opens a valid PDF in new tab</t>
  </si>
  <si>
    <t xml:space="preserve">TC-DP-011</t>
  </si>
  <si>
    <t xml:space="preserve">Breadcrumb</t>
  </si>
  <si>
    <t xml:space="preserve">Detail pages</t>
  </si>
  <si>
    <t xml:space="preserve">Breadcrumb links go back to listing / home</t>
  </si>
  <si>
    <t xml:space="preserve">1. Click each breadcrumb</t>
  </si>
  <si>
    <t xml:space="preserve">Correct pages open</t>
  </si>
  <si>
    <t xml:space="preserve">TC-DP-012</t>
  </si>
  <si>
    <t xml:space="preserve">Tables inside content are readable and scroll on mobile</t>
  </si>
  <si>
    <t xml:space="preserve">1. Open a circular with a table
2. Check at 375px</t>
  </si>
  <si>
    <t xml:space="preserve">Table scrolls horizontally inside its box; page does not</t>
  </si>
  <si>
    <t xml:space="preserve">tests/functional/responsive.spec.ts</t>
  </si>
  <si>
    <t xml:space="preserve">TC-DP-013</t>
  </si>
  <si>
    <t xml:space="preserve">Long titles wrap without overflow</t>
  </si>
  <si>
    <t xml:space="preserve">1. Open an item with a very long title</t>
  </si>
  <si>
    <t xml:space="preserve">Title wraps; no overflow/cut-off</t>
  </si>
  <si>
    <t xml:space="preserve">TC-DP-014</t>
  </si>
  <si>
    <t xml:space="preserve">Print</t>
  </si>
  <si>
    <t xml:space="preserve">Print view is clean</t>
  </si>
  <si>
    <t xml:space="preserve">1. Ctrl+P</t>
  </si>
  <si>
    <t xml:space="preserve">Header/menus hidden; content fits A4</t>
  </si>
  <si>
    <t xml:space="preserve">TC-DP-015</t>
  </si>
  <si>
    <t xml:space="preserve">EDGE: invalid/removed item slug</t>
  </si>
  <si>
    <t xml:space="preserve">1. Open /press-releases/does-not-exist-123</t>
  </si>
  <si>
    <t xml:space="preserve">HTTP 404 + friendly page</t>
  </si>
  <si>
    <t xml:space="preserve">TC-DP-016</t>
  </si>
  <si>
    <t xml:space="preserve">EDGE: slug with trailing slash / uppercase</t>
  </si>
  <si>
    <t xml:space="preserve">1. Open the same item URL with "/" and in UPPERCASE</t>
  </si>
  <si>
    <t xml:space="preserve">Redirects to canonical URL or loads same page</t>
  </si>
  <si>
    <t xml:space="preserve">TC-SSP-001</t>
  </si>
  <si>
    <t xml:space="preserve">On-this-page index</t>
  </si>
  <si>
    <t xml:space="preserve">/banker-to-banks/overview</t>
  </si>
  <si>
    <t xml:space="preserve">Index Hide/Show toggle and in-page search</t>
  </si>
  <si>
    <t xml:space="preserve">1. Open /banker-to-banks/overview
2. Click Hide / Show
3. Search a word in "Search this page"</t>
  </si>
  <si>
    <t xml:space="preserve">a word from a heading</t>
  </si>
  <si>
    <t xml:space="preserve">Index collapses/expands; search jumps to/highlights match</t>
  </si>
  <si>
    <t xml:space="preserve">TC-SSP-002</t>
  </si>
  <si>
    <t xml:space="preserve">/enforcement-department/overview</t>
  </si>
  <si>
    <t xml:space="preserve">1. Open /enforcement-department/overview
2. Click Hide / Show
3. Search a word in "Search this page"</t>
  </si>
  <si>
    <t xml:space="preserve">TC-SSP-003</t>
  </si>
  <si>
    <t xml:space="preserve">/issuer-of-currency/overview</t>
  </si>
  <si>
    <t xml:space="preserve">1. Open /issuer-of-currency/overview
2. Click Hide / Show
3. Search a word in "Search this page"</t>
  </si>
  <si>
    <t xml:space="preserve">TC-SSP-004</t>
  </si>
  <si>
    <t xml:space="preserve">/monetary-policy/overview</t>
  </si>
  <si>
    <t xml:space="preserve">1. Open /monetary-policy/overview
2. Click Hide / Show
3. Search a word in "Search this page"</t>
  </si>
  <si>
    <t xml:space="preserve">TC-SSP-005</t>
  </si>
  <si>
    <t xml:space="preserve">/payment-and-settlement-systems/overview</t>
  </si>
  <si>
    <t xml:space="preserve">1. Open /payment-and-settlement-systems/overview
2. Click Hide / Show
3. Search a word in "Search this page"</t>
  </si>
  <si>
    <t xml:space="preserve">TC-SSP-006</t>
  </si>
  <si>
    <t xml:space="preserve">/citizens-charter</t>
  </si>
  <si>
    <t xml:space="preserve">1. Open /citizens-charter
2. Click Hide / Show
3. Search a word in "Search this page"</t>
  </si>
  <si>
    <t xml:space="preserve">TC-SSP-007</t>
  </si>
  <si>
    <t xml:space="preserve">/right-to-information-act</t>
  </si>
  <si>
    <t xml:space="preserve">1. Open /right-to-information-act
2. Click Hide / Show
3. Search a word in "Search this page"</t>
  </si>
  <si>
    <t xml:space="preserve">TC-SSP-008</t>
  </si>
  <si>
    <t xml:space="preserve">Static pages</t>
  </si>
  <si>
    <t xml:space="preserve">Index links jump to their section</t>
  </si>
  <si>
    <t xml:space="preserve">1. Click an index link</t>
  </si>
  <si>
    <t xml:space="preserve">Scrolls to section; heading not hidden under sticky header</t>
  </si>
  <si>
    <t xml:space="preserve">TC-SSP-009</t>
  </si>
  <si>
    <t xml:space="preserve">EDGE: in-page search with no match</t>
  </si>
  <si>
    <t xml:space="preserve">1. Search "zzqqxx"</t>
  </si>
  <si>
    <t xml:space="preserve">"No matches" message; no error</t>
  </si>
  <si>
    <t xml:space="preserve">TC-SSP-010</t>
  </si>
  <si>
    <t xml:space="preserve">About Us</t>
  </si>
  <si>
    <t xml:space="preserve">/about-us</t>
  </si>
  <si>
    <t xml:space="preserve">Building carousel next/prev/dots/pause</t>
  </si>
  <si>
    <t xml:space="preserve">1. Pause
2. Next, Previous, dot 3</t>
  </si>
  <si>
    <t xml:space="preserve">Slides change accordingly</t>
  </si>
  <si>
    <t xml:space="preserve">TC-SSP-011</t>
  </si>
  <si>
    <t xml:space="preserve">EDGE: carousel wraps from last to first</t>
  </si>
  <si>
    <t xml:space="preserve">1. Go to last slide
2. Next</t>
  </si>
  <si>
    <t xml:space="preserve">Goes to first slide</t>
  </si>
  <si>
    <t xml:space="preserve">TC-SSP-012</t>
  </si>
  <si>
    <t xml:space="preserve">"More sections" rail expands</t>
  </si>
  <si>
    <t xml:space="preserve">1. Click More sections</t>
  </si>
  <si>
    <t xml:space="preserve">Extra sections listed</t>
  </si>
  <si>
    <t xml:space="preserve">TC-SSP-013</t>
  </si>
  <si>
    <t xml:space="preserve">Organisation</t>
  </si>
  <si>
    <t xml:space="preserve">/about-us/organisation</t>
  </si>
  <si>
    <t xml:space="preserve">Each org-chart node expands/collapses</t>
  </si>
  <si>
    <t xml:space="preserve">1. Click each Executive Director node</t>
  </si>
  <si>
    <t xml:space="preserve">Details show/hide; aria-expanded toggles</t>
  </si>
  <si>
    <t xml:space="preserve">TC-SSP-014</t>
  </si>
  <si>
    <t xml:space="preserve">Central Board</t>
  </si>
  <si>
    <t xml:space="preserve">/about-us/central-board</t>
  </si>
  <si>
    <t xml:space="preserve">Board members table correct</t>
  </si>
  <si>
    <t xml:space="preserve">1. Review table</t>
  </si>
  <si>
    <t xml:space="preserve">Names/designations correct; table has headers</t>
  </si>
  <si>
    <t xml:space="preserve">TC-SSP-015</t>
  </si>
  <si>
    <t xml:space="preserve">Offices</t>
  </si>
  <si>
    <t xml:space="preserve">/about-us/offices</t>
  </si>
  <si>
    <t xml:space="preserve">Map View / List View tabs</t>
  </si>
  <si>
    <t xml:space="preserve">1. Click List View
2. Click Map View</t>
  </si>
  <si>
    <t xml:space="preserve">Views switch</t>
  </si>
  <si>
    <t xml:space="preserve">TC-SSP-016</t>
  </si>
  <si>
    <t xml:space="preserve">Map pin shows office details</t>
  </si>
  <si>
    <t xml:space="preserve">1. Click Srinagar pin</t>
  </si>
  <si>
    <t xml:space="preserve">Office name + address shown</t>
  </si>
  <si>
    <t xml:space="preserve">TC-SSP-017</t>
  </si>
  <si>
    <t xml:space="preserve">All 34 map pins clickable, no overlap</t>
  </si>
  <si>
    <t xml:space="preserve">1. Click every pin</t>
  </si>
  <si>
    <t xml:space="preserve">Each shows its office; no pin hidden under another</t>
  </si>
  <si>
    <t xml:space="preserve">TC-SSP-018</t>
  </si>
  <si>
    <t xml:space="preserve">Office search by city</t>
  </si>
  <si>
    <t xml:space="preserve">1. Search Mumbai</t>
  </si>
  <si>
    <t xml:space="preserve">Mumbai</t>
  </si>
  <si>
    <t xml:space="preserve">Mumbai office(s) shown</t>
  </si>
  <si>
    <t xml:space="preserve">TC-SSP-019</t>
  </si>
  <si>
    <t xml:space="preserve">EDGE: office search no match</t>
  </si>
  <si>
    <t xml:space="preserve">1. Search Atlantis</t>
  </si>
  <si>
    <t xml:space="preserve">Atlantis</t>
  </si>
  <si>
    <t xml:space="preserve">"No offices found"</t>
  </si>
  <si>
    <t xml:space="preserve">TC-SSP-020</t>
  </si>
  <si>
    <t xml:space="preserve">EDGE: office search case/space insensitive</t>
  </si>
  <si>
    <t xml:space="preserve">1. Search "  mUmBaI  "</t>
  </si>
  <si>
    <t xml:space="preserve">Same as "Mumbai"</t>
  </si>
  <si>
    <t xml:space="preserve">TC-SSP-021</t>
  </si>
  <si>
    <t xml:space="preserve">Office phone/email links work</t>
  </si>
  <si>
    <t xml:space="preserve">1. Click tel:/mailto: links</t>
  </si>
  <si>
    <t xml:space="preserve">Dialer / mail client opens with correct value</t>
  </si>
  <si>
    <t xml:space="preserve">TC-SSP-022</t>
  </si>
  <si>
    <t xml:space="preserve">Departments</t>
  </si>
  <si>
    <t xml:space="preserve">/about-us/departments</t>
  </si>
  <si>
    <t xml:space="preserve">Department search filters list</t>
  </si>
  <si>
    <t xml:space="preserve">1. Search "Currency"</t>
  </si>
  <si>
    <t xml:space="preserve">Currency</t>
  </si>
  <si>
    <t xml:space="preserve">Only matching departments</t>
  </si>
  <si>
    <t xml:space="preserve">TC-SSP-023</t>
  </si>
  <si>
    <t xml:space="preserve">EDGE: clearing search restores list</t>
  </si>
  <si>
    <t xml:space="preserve">1. Search
2. Clear box</t>
  </si>
  <si>
    <t xml:space="preserve">Full list back</t>
  </si>
  <si>
    <t xml:space="preserve">TC-SSP-024</t>
  </si>
  <si>
    <t xml:space="preserve">RBI History</t>
  </si>
  <si>
    <t xml:space="preserve">/about-us/rbi-history</t>
  </si>
  <si>
    <t xml:space="preserve">Photo gallery next/dots</t>
  </si>
  <si>
    <t xml:space="preserve">1. Click Next photograph, dots</t>
  </si>
  <si>
    <t xml:space="preserve">Photos change; captions update</t>
  </si>
  <si>
    <t xml:space="preserve">TC-SSP-025</t>
  </si>
  <si>
    <t xml:space="preserve">Volumes carousel + Read More</t>
  </si>
  <si>
    <t xml:space="preserve">1. Next Volumes
2. Read More on each</t>
  </si>
  <si>
    <t xml:space="preserve">Text expands; aria-expanded=true</t>
  </si>
  <si>
    <t xml:space="preserve">TC-SSP-026</t>
  </si>
  <si>
    <t xml:space="preserve">Legal framework</t>
  </si>
  <si>
    <t xml:space="preserve">/legal-framework/act</t>
  </si>
  <si>
    <t xml:space="preserve">Act links open India Code in new tab</t>
  </si>
  <si>
    <t xml:space="preserve">1. Click each Act card</t>
  </si>
  <si>
    <t xml:space="preserve">Opens indiacode.nic.in in new tab with rel=noopener</t>
  </si>
  <si>
    <t xml:space="preserve">TC-SSP-027</t>
  </si>
  <si>
    <t xml:space="preserve">Publications</t>
  </si>
  <si>
    <t xml:space="preserve">/publications/*</t>
  </si>
  <si>
    <t xml:space="preserve">Publication category pages list cards</t>
  </si>
  <si>
    <t xml:space="preserve">1. Open annual, monthly, weekly… pages</t>
  </si>
  <si>
    <t xml:space="preserve">Cards link to publication pages</t>
  </si>
  <si>
    <t xml:space="preserve">TC-SSP-028</t>
  </si>
  <si>
    <t xml:space="preserve">Complaints</t>
  </si>
  <si>
    <t xml:space="preserve">/complaints</t>
  </si>
  <si>
    <t xml:space="preserve">Grievance redress table + links</t>
  </si>
  <si>
    <t xml:space="preserve">1. Open /complaints</t>
  </si>
  <si>
    <t xml:space="preserve">Table readable; CMS / Ombudsman links work</t>
  </si>
  <si>
    <t xml:space="preserve">TC-SSP-029</t>
  </si>
  <si>
    <t xml:space="preserve">Soft 404</t>
  </si>
  <si>
    <t xml:space="preserve">/speech-and-media</t>
  </si>
  <si>
    <t xml:space="preserve">Speeches &amp; Media landing page exists</t>
  </si>
  <si>
    <t xml:space="preserve">1. Open /speech-and-media</t>
  </si>
  <si>
    <t xml:space="preserve">Real landing page. KNOWN DEFECT: shows "not found" with HTTP 200</t>
  </si>
  <si>
    <t xml:space="preserve">TC-SSP-030</t>
  </si>
  <si>
    <t xml:space="preserve">Podcasts</t>
  </si>
  <si>
    <t xml:space="preserve">Podcast audio plays</t>
  </si>
  <si>
    <t xml:space="preserve">1. Open a podcast
2. Play</t>
  </si>
  <si>
    <t xml:space="preserve">Audio plays; pause/seek/volume work; transcript if any</t>
  </si>
  <si>
    <t xml:space="preserve">TC-F-001</t>
  </si>
  <si>
    <t xml:space="preserve">Links</t>
  </si>
  <si>
    <t xml:space="preserve">Quick Links all resolve</t>
  </si>
  <si>
    <t xml:space="preserve">1. Click every footer link</t>
  </si>
  <si>
    <t xml:space="preserve">All 200. KNOWN DEFECTS: Opportunities, Important Websites, Bank Holidays, RBI Clarifications, Forms, RBI's Vision and Values → 404</t>
  </si>
  <si>
    <t xml:space="preserve">TC-F-002</t>
  </si>
  <si>
    <t xml:space="preserve">Social</t>
  </si>
  <si>
    <t xml:space="preserve">Social icons open correct RBI profiles in new tab</t>
  </si>
  <si>
    <t xml:space="preserve">1. Click YouTube, X, Instagram, Facebook, LinkedIn</t>
  </si>
  <si>
    <t xml:space="preserve">Official RBI accounts; new tab; rel=noopener</t>
  </si>
  <si>
    <t xml:space="preserve">TC-F-003</t>
  </si>
  <si>
    <t xml:space="preserve">Need Help</t>
  </si>
  <si>
    <t xml:space="preserve">Need Help section links work</t>
  </si>
  <si>
    <t xml:space="preserve">1. Click each Need Help link</t>
  </si>
  <si>
    <t xml:space="preserve">Correct pages / contact info</t>
  </si>
  <si>
    <t xml:space="preserve">TC-F-004</t>
  </si>
  <si>
    <t xml:space="preserve">Copyright year and "Last updated" correct</t>
  </si>
  <si>
    <t xml:space="preserve">1. Read footer text</t>
  </si>
  <si>
    <t xml:space="preserve">Current year; correct dates</t>
  </si>
  <si>
    <t xml:space="preserve">TC-F-005</t>
  </si>
  <si>
    <t xml:space="preserve">Layout</t>
  </si>
  <si>
    <t xml:space="preserve">Footer layout on mobile</t>
  </si>
  <si>
    <t xml:space="preserve">1. Scroll to footer</t>
  </si>
  <si>
    <t xml:space="preserve">Columns stack; links tappable (≥24px)</t>
  </si>
  <si>
    <t xml:space="preserve">TC-EPA-001</t>
  </si>
  <si>
    <t xml:space="preserve">Health</t>
  </si>
  <si>
    <t xml:space="preserve">Every crawled page</t>
  </si>
  <si>
    <t xml:space="preserve">Page returns HTTP &lt; 400</t>
  </si>
  <si>
    <t xml:space="preserve">npm run crawl done</t>
  </si>
  <si>
    <t xml:space="preserve">Automated: open every crawled URL</t>
  </si>
  <si>
    <t xml:space="preserve">Status 200 (or redirect)</t>
  </si>
  <si>
    <t xml:space="preserve">TC-EPA-002</t>
  </si>
  <si>
    <t xml:space="preserve">No uncaught JavaScript errors</t>
  </si>
  <si>
    <t xml:space="preserve">No page errors</t>
  </si>
  <si>
    <t xml:space="preserve">TC-EPA-003</t>
  </si>
  <si>
    <t xml:space="preserve">No console errors / failed requests</t>
  </si>
  <si>
    <t xml:space="preserve">No console errors; no 4xx/5xx sub-requests</t>
  </si>
  <si>
    <t xml:space="preserve">TC-EPA-004</t>
  </si>
  <si>
    <t xml:space="preserve">No broken images; all images have alt</t>
  </si>
  <si>
    <t xml:space="preserve">Automated (scrolls to load lazy images)</t>
  </si>
  <si>
    <t xml:space="preserve">All images load; alt present</t>
  </si>
  <si>
    <t xml:space="preserve">TC-EPA-005</t>
  </si>
  <si>
    <t xml:space="preserve">Exactly one visible H1</t>
  </si>
  <si>
    <t xml:space="preserve">1 H1</t>
  </si>
  <si>
    <t xml:space="preserve">TC-EPA-006</t>
  </si>
  <si>
    <t xml:space="preserve">No template leaks (undefined, NaN, lorem ipsum)</t>
  </si>
  <si>
    <t xml:space="preserve">None found</t>
  </si>
  <si>
    <t xml:space="preserve">TC-EPA-007</t>
  </si>
  <si>
    <t xml:space="preserve">No horizontal scroll at desktop</t>
  </si>
  <si>
    <t xml:space="preserve">No overflow</t>
  </si>
  <si>
    <t xml:space="preserve">TC-EPA-008</t>
  </si>
  <si>
    <t xml:space="preserve">Every link (internal, PDF, external) resolves</t>
  </si>
  <si>
    <t xml:space="preserve">Automated link checker</t>
  </si>
  <si>
    <t xml:space="preserve">All &lt; 400 (external 403/429 = warning)</t>
  </si>
  <si>
    <t xml:space="preserve">TC-EPA-009</t>
  </si>
  <si>
    <t xml:space="preserve">Buttons</t>
  </si>
  <si>
    <t xml:space="preserve">Every button/tab/accordion/dropdown works</t>
  </si>
  <si>
    <t xml:space="preserve">Automated auto-click tester</t>
  </si>
  <si>
    <t xml:space="preserve">No JS error, no 404 after click, not covered; dead buttons reported</t>
  </si>
  <si>
    <t xml:space="preserve">TC-EPA-010</t>
  </si>
  <si>
    <t xml:space="preserve">Inputs</t>
  </si>
  <si>
    <t xml:space="preserve">Every input handles edge-case data</t>
  </si>
  <si>
    <t xml:space="preserve">Automated: empty, spaces, 500 chars, special chars, XSS, SQL-like, Unicode, numbers</t>
  </si>
  <si>
    <t xml:space="preserve">No script execution, no JS error, no 5xx</t>
  </si>
  <si>
    <t xml:space="preserve">TC-EPA-011</t>
  </si>
  <si>
    <t xml:space="preserve">axe-core WCAG 2.1 AA scan</t>
  </si>
  <si>
    <t xml:space="preserve">No serious/critical violations</t>
  </si>
  <si>
    <t xml:space="preserve">tests/crawl/a11y.spec.ts</t>
  </si>
  <si>
    <t xml:space="preserve">TC-EPA-012</t>
  </si>
  <si>
    <t xml:space="preserve">Locators</t>
  </si>
  <si>
    <t xml:space="preserve">Key pages</t>
  </si>
  <si>
    <t xml:space="preserve">All XPath locators still match after deploy</t>
  </si>
  <si>
    <t xml:space="preserve">Every XPath matches ≥1 element</t>
  </si>
  <si>
    <t xml:space="preserve">tests/functional/xpath-locators.spec.ts</t>
  </si>
  <si>
    <t xml:space="preserve">TC-RC-001</t>
  </si>
  <si>
    <t xml:space="preserve">Breakpoints</t>
  </si>
  <si>
    <t xml:space="preserve">Layout at 375px (iPhone SE / small phone)</t>
  </si>
  <si>
    <t xml:space="preserve">Viewport 375px</t>
  </si>
  <si>
    <t xml:space="preserve">1. Open home, listing, detail, offices, search</t>
  </si>
  <si>
    <t xml:space="preserve">No overflow, overlaps or cut text; menus usable</t>
  </si>
  <si>
    <t xml:space="preserve">TC-RC-002</t>
  </si>
  <si>
    <t xml:space="preserve">Layout at 390px (iPhone 14)</t>
  </si>
  <si>
    <t xml:space="preserve">Viewport 390px</t>
  </si>
  <si>
    <t xml:space="preserve">TC-RC-003</t>
  </si>
  <si>
    <t xml:space="preserve">Layout at 768px (iPad portrait)</t>
  </si>
  <si>
    <t xml:space="preserve">Viewport 768px</t>
  </si>
  <si>
    <t xml:space="preserve">TC-RC-004</t>
  </si>
  <si>
    <t xml:space="preserve">Layout at 1024px (iPad landscape / small laptop)</t>
  </si>
  <si>
    <t xml:space="preserve">Viewport 1024px</t>
  </si>
  <si>
    <t xml:space="preserve">TC-RC-005</t>
  </si>
  <si>
    <t xml:space="preserve">Layout at 1280px (Laptop)</t>
  </si>
  <si>
    <t xml:space="preserve">Viewport 1280px</t>
  </si>
  <si>
    <t xml:space="preserve">TC-RC-006</t>
  </si>
  <si>
    <t xml:space="preserve">Layout at 1440px (Desktop)</t>
  </si>
  <si>
    <t xml:space="preserve">Viewport 1440px</t>
  </si>
  <si>
    <t xml:space="preserve">TC-RC-007</t>
  </si>
  <si>
    <t xml:space="preserve">Layout at 1920px (Full HD)</t>
  </si>
  <si>
    <t xml:space="preserve">Viewport 1920px</t>
  </si>
  <si>
    <t xml:space="preserve">TC-RC-008</t>
  </si>
  <si>
    <t xml:space="preserve">Orientation</t>
  </si>
  <si>
    <t xml:space="preserve">Rotate phone portrait ↔ landscape</t>
  </si>
  <si>
    <t xml:space="preserve">1. Rotate device on each key page</t>
  </si>
  <si>
    <t xml:space="preserve">Layout adapts; no lost state</t>
  </si>
  <si>
    <t xml:space="preserve">TC-RC-009</t>
  </si>
  <si>
    <t xml:space="preserve">Zoom</t>
  </si>
  <si>
    <t xml:space="preserve">Browser zoom 200% (WCAG 1.4.4) and 400% reflow (1.4.10)</t>
  </si>
  <si>
    <t xml:space="preserve">1. Ctrl + to 200% / 400%</t>
  </si>
  <si>
    <t xml:space="preserve">Content readable; no loss of function; single-column reflow at 400%</t>
  </si>
  <si>
    <t xml:space="preserve">TC-RC-010</t>
  </si>
  <si>
    <t xml:space="preserve">Touch</t>
  </si>
  <si>
    <t xml:space="preserve">Tap targets ≥ 24×24px</t>
  </si>
  <si>
    <t xml:space="preserve">1. Check header, footer, pager, filters</t>
  </si>
  <si>
    <t xml:space="preserve">All targets large enough</t>
  </si>
  <si>
    <t xml:space="preserve">TC-RC-011</t>
  </si>
  <si>
    <t xml:space="preserve">Browsers</t>
  </si>
  <si>
    <t xml:space="preserve">Smoke test on Chrome (latest)</t>
  </si>
  <si>
    <t xml:space="preserve">1. Home, menu, search, listing filters, detail PDF, a11y toolbar</t>
  </si>
  <si>
    <t xml:space="preserve">Same behaviour and look as Chrome</t>
  </si>
  <si>
    <t xml:space="preserve">TC-RC-012</t>
  </si>
  <si>
    <t xml:space="preserve">Smoke test on Edge (latest)</t>
  </si>
  <si>
    <t xml:space="preserve">TC-RC-013</t>
  </si>
  <si>
    <t xml:space="preserve">Smoke test on Firefox (latest)</t>
  </si>
  <si>
    <t xml:space="preserve">TC-RC-014</t>
  </si>
  <si>
    <t xml:space="preserve">Smoke test on Safari macOS (latest)</t>
  </si>
  <si>
    <t xml:space="preserve">TC-RC-015</t>
  </si>
  <si>
    <t xml:space="preserve">Smoke test on Safari iOS</t>
  </si>
  <si>
    <t xml:space="preserve">TC-RC-016</t>
  </si>
  <si>
    <t xml:space="preserve">Smoke test on Chrome Android</t>
  </si>
  <si>
    <t xml:space="preserve">TC-RC-017</t>
  </si>
  <si>
    <t xml:space="preserve">Smoke test on Samsung Internet</t>
  </si>
  <si>
    <t xml:space="preserve">TC-AM-001</t>
  </si>
  <si>
    <t xml:space="preserve">Keyboard</t>
  </si>
  <si>
    <t xml:space="preserve">Whole site usable with keyboard only</t>
  </si>
  <si>
    <t xml:space="preserve">1. Unplug mouse
2. Navigate menus, search, filters, carousels, toolbar</t>
  </si>
  <si>
    <t xml:space="preserve">Everything reachable; logical order; no traps</t>
  </si>
  <si>
    <t xml:space="preserve">TC-AM-002</t>
  </si>
  <si>
    <t xml:space="preserve">Focus</t>
  </si>
  <si>
    <t xml:space="preserve">Visible focus indicator on every control</t>
  </si>
  <si>
    <t xml:space="preserve">1. Tab through page</t>
  </si>
  <si>
    <t xml:space="preserve">Clear focus ring everywhere</t>
  </si>
  <si>
    <t xml:space="preserve">TC-AM-003</t>
  </si>
  <si>
    <t xml:space="preserve">Screen reader</t>
  </si>
  <si>
    <t xml:space="preserve">NVDA / VoiceOver read page correctly</t>
  </si>
  <si>
    <t xml:space="preserve">NVDA or VoiceOver on</t>
  </si>
  <si>
    <t xml:space="preserve">1. Read home, listing, detail with screen reader</t>
  </si>
  <si>
    <t xml:space="preserve">Landmarks, headings, button names, tab states, expanded states announced</t>
  </si>
  <si>
    <t xml:space="preserve">TC-AM-004</t>
  </si>
  <si>
    <t xml:space="preserve">Contrast</t>
  </si>
  <si>
    <t xml:space="preserve">Text contrast ≥ 4.5:1 (light and dark theme)</t>
  </si>
  <si>
    <t xml:space="preserve">1. Check with contrast tool</t>
  </si>
  <si>
    <t xml:space="preserve">All text passes AA</t>
  </si>
  <si>
    <t xml:space="preserve">TC-AM-005</t>
  </si>
  <si>
    <t xml:space="preserve">Motion</t>
  </si>
  <si>
    <t xml:space="preserve">Respects "reduce motion" OS setting</t>
  </si>
  <si>
    <t xml:space="preserve">OS reduce motion on</t>
  </si>
  <si>
    <t xml:space="preserve">1. Load home, about-us</t>
  </si>
  <si>
    <t xml:space="preserve">Carousels do not auto-animate</t>
  </si>
  <si>
    <t xml:space="preserve">TC-AM-006</t>
  </si>
  <si>
    <t xml:space="preserve">Forms</t>
  </si>
  <si>
    <t xml:space="preserve">All inputs</t>
  </si>
  <si>
    <t xml:space="preserve">Every input has a label</t>
  </si>
  <si>
    <t xml:space="preserve">1. Inspect search, filter, date inputs</t>
  </si>
  <si>
    <t xml:space="preserve">Label or aria-label present</t>
  </si>
  <si>
    <t xml:space="preserve">TC-AM-007</t>
  </si>
  <si>
    <t xml:space="preserve">Documents</t>
  </si>
  <si>
    <t xml:space="preserve">PDF links</t>
  </si>
  <si>
    <t xml:space="preserve">PDF links say "opens in new tab" + size</t>
  </si>
  <si>
    <t xml:space="preserve">1. Inspect PDF links</t>
  </si>
  <si>
    <t xml:space="preserve">Text/aria indicates PDF, new tab and size</t>
  </si>
  <si>
    <t xml:space="preserve">TC-P-001</t>
  </si>
  <si>
    <t xml:space="preserve">Load time</t>
  </si>
  <si>
    <t xml:space="preserve">Home LCP &lt; 2.5 s, CLS &lt; 0.1, INP &lt; 200 ms</t>
  </si>
  <si>
    <t xml:space="preserve">1. Lighthouse / PageSpeed on home (mobile + desktop)</t>
  </si>
  <si>
    <t xml:space="preserve">Core Web Vitals pass</t>
  </si>
  <si>
    <t xml:space="preserve">TC-P-002</t>
  </si>
  <si>
    <t xml:space="preserve">Listing pages</t>
  </si>
  <si>
    <t xml:space="preserve">Listing pages respond &lt; 2 s</t>
  </si>
  <si>
    <t xml:space="preserve">1. Measure TTFB on notifications and speech pages</t>
  </si>
  <si>
    <t xml:space="preserve">&lt; 2 s. OBSERVED: 3–4 s on several notifications/speech pages</t>
  </si>
  <si>
    <t xml:space="preserve">TC-P-003</t>
  </si>
  <si>
    <t xml:space="preserve">Weight</t>
  </si>
  <si>
    <t xml:space="preserve">Home</t>
  </si>
  <si>
    <t xml:space="preserve">Homepage HTML size reasonable</t>
  </si>
  <si>
    <t xml:space="preserve">1. Check document size</t>
  </si>
  <si>
    <t xml:space="preserve">HTML &lt; 300 KB. OBSERVED: ~430 KB (inlined SSR state)</t>
  </si>
  <si>
    <t xml:space="preserve">TC-P-004</t>
  </si>
  <si>
    <t xml:space="preserve">Images</t>
  </si>
  <si>
    <t xml:space="preserve">Images optimised (WebP/AVIF, lazy, sized)</t>
  </si>
  <si>
    <t xml:space="preserve">1. Lighthouse image audits</t>
  </si>
  <si>
    <t xml:space="preserve">No oversized images; width/height set</t>
  </si>
  <si>
    <t xml:space="preserve">TC-P-005</t>
  </si>
  <si>
    <t xml:space="preserve">Caching</t>
  </si>
  <si>
    <t xml:space="preserve">Static assets cached</t>
  </si>
  <si>
    <t xml:space="preserve">1. Check Cache-Control on JS/CSS/images</t>
  </si>
  <si>
    <t xml:space="preserve">Long max-age with hashed filenames</t>
  </si>
  <si>
    <t xml:space="preserve">TC-P-006</t>
  </si>
  <si>
    <t xml:space="preserve">Site handles expected concurrent users</t>
  </si>
  <si>
    <t xml:space="preserve">Load-test tool (k6/JMeter)</t>
  </si>
  <si>
    <t xml:space="preserve">1. Ramp 200 users on home + search + listings</t>
  </si>
  <si>
    <t xml:space="preserve">p95 &lt; 3 s; no 5xx</t>
  </si>
  <si>
    <t xml:space="preserve">TC-P-007</t>
  </si>
  <si>
    <t xml:space="preserve">Network</t>
  </si>
  <si>
    <t xml:space="preserve">Usable on slow 3G</t>
  </si>
  <si>
    <t xml:space="preserve">DevTools throttling Slow 3G</t>
  </si>
  <si>
    <t xml:space="preserve">1. Load home and a listing</t>
  </si>
  <si>
    <t xml:space="preserve">Content appears progressively; no broken layout</t>
  </si>
  <si>
    <t xml:space="preserve">TC-SE-001</t>
  </si>
  <si>
    <t xml:space="preserve">Files</t>
  </si>
  <si>
    <t xml:space="preserve">/sitemap.xml</t>
  </si>
  <si>
    <t xml:space="preserve">sitemap.xml exists and lists pages</t>
  </si>
  <si>
    <t xml:space="preserve">1. Open /sitemap.xml</t>
  </si>
  <si>
    <t xml:space="preserve">Valid XML sitemap. KNOWN DEFECT: 404</t>
  </si>
  <si>
    <t xml:space="preserve">TC-SE-002</t>
  </si>
  <si>
    <t xml:space="preserve">/robots.txt</t>
  </si>
  <si>
    <t xml:space="preserve">robots.txt exists</t>
  </si>
  <si>
    <t xml:space="preserve">1. Open /robots.txt</t>
  </si>
  <si>
    <t xml:space="preserve">Valid robots.txt pointing to sitemap. KNOWN DEFECT: 404</t>
  </si>
  <si>
    <t xml:space="preserve">TC-SE-003</t>
  </si>
  <si>
    <t xml:space="preserve">Meta</t>
  </si>
  <si>
    <t xml:space="preserve">Every page</t>
  </si>
  <si>
    <t xml:space="preserve">Unique title and meta description per page</t>
  </si>
  <si>
    <t xml:space="preserve">Automated + manual review</t>
  </si>
  <si>
    <t xml:space="preserve">Present and unique</t>
  </si>
  <si>
    <t xml:space="preserve">TC-SE-004</t>
  </si>
  <si>
    <t xml:space="preserve">Canonical URL present</t>
  </si>
  <si>
    <t xml:space="preserve">1. Inspect &lt;link rel=canonical&gt;</t>
  </si>
  <si>
    <t xml:space="preserve">Points to production URL of the page</t>
  </si>
  <si>
    <t xml:space="preserve">TC-SE-005</t>
  </si>
  <si>
    <t xml:space="preserve">Open Graph / Twitter tags for sharing</t>
  </si>
  <si>
    <t xml:space="preserve">1. Inspect og:title, og:image</t>
  </si>
  <si>
    <t xml:space="preserve">Present; share preview correct</t>
  </si>
  <si>
    <t xml:space="preserve">TC-SE-006</t>
  </si>
  <si>
    <t xml:space="preserve">Errors</t>
  </si>
  <si>
    <t xml:space="preserve">Unknown URL</t>
  </si>
  <si>
    <t xml:space="preserve">Unknown URL returns real 404</t>
  </si>
  <si>
    <t xml:space="preserve">1. Open /this-page-does-not-exist</t>
  </si>
  <si>
    <t xml:space="preserve">HTTP 404 + friendly page with Home link</t>
  </si>
  <si>
    <t xml:space="preserve">TC-EH-001</t>
  </si>
  <si>
    <t xml:space="preserve">404</t>
  </si>
  <si>
    <t xml:space="preserve">404 page shows header, search and Home link</t>
  </si>
  <si>
    <t xml:space="preserve">1. Open random URL</t>
  </si>
  <si>
    <t xml:space="preserve">Branded 404 with navigation</t>
  </si>
  <si>
    <t xml:space="preserve">TC-EH-002</t>
  </si>
  <si>
    <t xml:space="preserve">Offline</t>
  </si>
  <si>
    <t xml:space="preserve">Any page</t>
  </si>
  <si>
    <t xml:space="preserve">EDGE: network drops while filtering</t>
  </si>
  <si>
    <t xml:space="preserve">1. DevTools → Offline
2. Change a filter</t>
  </si>
  <si>
    <t xml:space="preserve">Friendly error / retry, not blank page</t>
  </si>
  <si>
    <t xml:space="preserve">TC-EH-003</t>
  </si>
  <si>
    <t xml:space="preserve">JS disabled</t>
  </si>
  <si>
    <t xml:space="preserve">EDGE: JavaScript disabled (SSR fallback)</t>
  </si>
  <si>
    <t xml:space="preserve">JS disabled in browser</t>
  </si>
  <si>
    <t xml:space="preserve">Content readable via server render; links work</t>
  </si>
  <si>
    <t xml:space="preserve">TC-EH-004</t>
  </si>
  <si>
    <t xml:space="preserve">Double click</t>
  </si>
  <si>
    <t xml:space="preserve">Forms / filters</t>
  </si>
  <si>
    <t xml:space="preserve">EDGE: double-click Apply / Search</t>
  </si>
  <si>
    <t xml:space="preserve">1. Double-click Apply quickly</t>
  </si>
  <si>
    <t xml:space="preserve">Single request; no duplicate results</t>
  </si>
  <si>
    <t xml:space="preserve">TC-EH-005</t>
  </si>
  <si>
    <t xml:space="preserve">Back/Forward</t>
  </si>
  <si>
    <t xml:space="preserve">EDGE: browser Back/Forward through SPA navigation</t>
  </si>
  <si>
    <t xml:space="preserve">1. Home → listing → detail → Back → Back → Forward</t>
  </si>
  <si>
    <t xml:space="preserve">Correct pages &amp; scroll positions</t>
  </si>
  <si>
    <t xml:space="preserve">TC-EH-006</t>
  </si>
  <si>
    <t xml:space="preserve">Refresh</t>
  </si>
  <si>
    <t xml:space="preserve">EDGE: refresh on every page type keeps state</t>
  </si>
  <si>
    <t xml:space="preserve">1. Apply filters
2. F5</t>
  </si>
  <si>
    <t xml:space="preserve">Same page and filters (if in URL)</t>
  </si>
  <si>
    <t xml:space="preserve">TC-EH-007</t>
  </si>
  <si>
    <t xml:space="preserve">Deep link</t>
  </si>
  <si>
    <t xml:space="preserve">EDGE: open deep link in new tab / incognito</t>
  </si>
  <si>
    <t xml:space="preserve">1. Copy a detail URL
2. Open in new incognito window (after login)</t>
  </si>
  <si>
    <t xml:space="preserve">Page loads directly</t>
  </si>
  <si>
    <t xml:space="preserve">Defect ID</t>
  </si>
  <si>
    <t xml:space="preserve">Category</t>
  </si>
  <si>
    <t xml:space="preserve">Area</t>
  </si>
  <si>
    <t xml:space="preserve">Description</t>
  </si>
  <si>
    <t xml:space="preserve">Pages affected</t>
  </si>
  <si>
    <t xml:space="preserve">Severity</t>
  </si>
  <si>
    <t xml:space="preserve">URL</t>
  </si>
  <si>
    <t xml:space="preserve">Found on</t>
  </si>
  <si>
    <t xml:space="preserve">Assigned To</t>
  </si>
  <si>
    <t xml:space="preserve">Fixed In Build</t>
  </si>
  <si>
    <t xml:space="preserve">Retest Result</t>
  </si>
  <si>
    <t xml:space="preserve">D-01</t>
  </si>
  <si>
    <t xml:space="preserve">Broken link</t>
  </si>
  <si>
    <t xml:space="preserve">Header → Functions menu</t>
  </si>
  <si>
    <t xml:space="preserve">"Regulation" link goes to /regulation → 404</t>
  </si>
  <si>
    <t xml:space="preserve">High</t>
  </si>
  <si>
    <t xml:space="preserve">https://stg-rbi.webc.in/regulation</t>
  </si>
  <si>
    <t xml:space="preserve">27-09-2026</t>
  </si>
  <si>
    <t xml:space="preserve">Open</t>
  </si>
  <si>
    <t xml:space="preserve">D-02</t>
  </si>
  <si>
    <t xml:space="preserve">"Opportunities" → 404</t>
  </si>
  <si>
    <t xml:space="preserve">https://stg-rbi.webc.in/opportunities</t>
  </si>
  <si>
    <t xml:space="preserve">D-03</t>
  </si>
  <si>
    <t xml:space="preserve">"Important Websites" → 404</t>
  </si>
  <si>
    <t xml:space="preserve">https://stg-rbi.webc.in/important-websites</t>
  </si>
  <si>
    <t xml:space="preserve">D-04</t>
  </si>
  <si>
    <t xml:space="preserve">"Bank Holidays" → 404</t>
  </si>
  <si>
    <t xml:space="preserve">https://stg-rbi.webc.in/bank-holidays</t>
  </si>
  <si>
    <t xml:space="preserve">D-05</t>
  </si>
  <si>
    <t xml:space="preserve">"RBI Clarifications" → 404</t>
  </si>
  <si>
    <t xml:space="preserve">https://stg-rbi.webc.in/rbi-clarifications</t>
  </si>
  <si>
    <t xml:space="preserve">D-06</t>
  </si>
  <si>
    <t xml:space="preserve">"Forms" → 404</t>
  </si>
  <si>
    <t xml:space="preserve">https://stg-rbi.webc.in/forms</t>
  </si>
  <si>
    <t xml:space="preserve">D-07</t>
  </si>
  <si>
    <t xml:space="preserve">"RBI's Vision and Values" → 404</t>
  </si>
  <si>
    <t xml:space="preserve">https://stg-rbi.webc.in/about-rbi/vision-and-values</t>
  </si>
  <si>
    <t xml:space="preserve">D-08</t>
  </si>
  <si>
    <t xml:space="preserve">Site-wide</t>
  </si>
  <si>
    <t xml:space="preserve">"RBI Museum" → 404</t>
  </si>
  <si>
    <t xml:space="preserve">Medium</t>
  </si>
  <si>
    <t xml:space="preserve">https://stg-rbi.webc.in/about-us/rbi-museum</t>
  </si>
  <si>
    <t xml:space="preserve">D-09</t>
  </si>
  <si>
    <t xml:space="preserve">Homepage – Governor's Desk</t>
  </si>
  <si>
    <t xml:space="preserve">"Monetary Policy Statements, Governor…" → 404</t>
  </si>
  <si>
    <t xml:space="preserve">https://stg-rbi.webc.in/governor-monetary-policy-statements</t>
  </si>
  <si>
    <t xml:space="preserve">D-10</t>
  </si>
  <si>
    <t xml:space="preserve">Speeches &amp; Media landing</t>
  </si>
  <si>
    <t xml:space="preserve">Returns HTTP 200 but renders the "not found" page</t>
  </si>
  <si>
    <t xml:space="preserve">https://stg-rbi.webc.in/speech-and-media</t>
  </si>
  <si>
    <t xml:space="preserve">D-11</t>
  </si>
  <si>
    <t xml:space="preserve">Feature missing</t>
  </si>
  <si>
    <t xml:space="preserve">Header – Change language</t>
  </si>
  <si>
    <t xml:space="preserve">Button has no action; Hindi site /hi returns 404</t>
  </si>
  <si>
    <t xml:space="preserve">https://stg-rbi.webc.in/hi</t>
  </si>
  <si>
    <t xml:space="preserve">D-12</t>
  </si>
  <si>
    <t xml:space="preserve">Homepage – announcement ticker</t>
  </si>
  <si>
    <t xml:space="preserve">"Previous announcement" does not move back (Next works) — confirm manually</t>
  </si>
  <si>
    <t xml:space="preserve">https://stg-rbi.webc.in/</t>
  </si>
  <si>
    <t xml:space="preserve">D-13</t>
  </si>
  <si>
    <t xml:space="preserve">Site</t>
  </si>
  <si>
    <t xml:space="preserve">/sitemap.xml returns 404</t>
  </si>
  <si>
    <t xml:space="preserve">-</t>
  </si>
  <si>
    <t xml:space="preserve">https://stg-rbi.webc.in/sitemap.xml</t>
  </si>
  <si>
    <t xml:space="preserve">D-14</t>
  </si>
  <si>
    <t xml:space="preserve">/robots.txt returns 404</t>
  </si>
  <si>
    <t xml:space="preserve">Low</t>
  </si>
  <si>
    <t xml:space="preserve">https://stg-rbi.webc.in/robots.txt</t>
  </si>
  <si>
    <t xml:space="preserve">D-15</t>
  </si>
  <si>
    <t xml:space="preserve">Notifications &amp; Speech listings</t>
  </si>
  <si>
    <t xml:space="preserve">HTML response 3–4 s under light concurrency</t>
  </si>
  <si>
    <t xml:space="preserve">notifications/*, speech-and-media/*</t>
  </si>
  <si>
    <t xml:space="preserve">https://stg-rbi.webc.in/notifications/draft-directions-re-wise</t>
  </si>
  <si>
    <t xml:space="preserve">#</t>
  </si>
  <si>
    <t xml:space="preserve">Page URL</t>
  </si>
  <si>
    <t xml:space="preserve">Template</t>
  </si>
  <si>
    <t xml:space="preserve">Interactive features found</t>
  </si>
  <si>
    <t xml:space="preserve">Page-health test</t>
  </si>
  <si>
    <t xml:space="preserve">Auto-click test</t>
  </si>
  <si>
    <t xml:space="preserve">Manual review done?</t>
  </si>
  <si>
    <t xml:space="preserve">Tabs, Accordions/toggles</t>
  </si>
  <si>
    <t xml:space="preserve">https://stg-rbi.webc.in/about-us</t>
  </si>
  <si>
    <t xml:space="preserve">Static page</t>
  </si>
  <si>
    <t xml:space="preserve">Tabs, PDF links</t>
  </si>
  <si>
    <t xml:space="preserve">https://stg-rbi.webc.in/about-us/organisation</t>
  </si>
  <si>
    <t xml:space="preserve">Accordions/toggles, PDF links</t>
  </si>
  <si>
    <t xml:space="preserve">https://stg-rbi.webc.in/about-us/central-board</t>
  </si>
  <si>
    <t xml:space="preserve">Tables</t>
  </si>
  <si>
    <t xml:space="preserve">https://stg-rbi.webc.in/about-us/departments</t>
  </si>
  <si>
    <t xml:space="preserve">—</t>
  </si>
  <si>
    <t xml:space="preserve">https://stg-rbi.webc.in/about-us/offices</t>
  </si>
  <si>
    <t xml:space="preserve">Tabs</t>
  </si>
  <si>
    <t xml:space="preserve">https://stg-rbi.webc.in/about-us/rbi-history</t>
  </si>
  <si>
    <t xml:space="preserve">Accordions/toggles</t>
  </si>
  <si>
    <t xml:space="preserve">https://stg-rbi.webc.in/about-us/communication-policy</t>
  </si>
  <si>
    <t xml:space="preserve">Static page with index</t>
  </si>
  <si>
    <t xml:space="preserve">On-page index + search, PDF links</t>
  </si>
  <si>
    <t xml:space="preserve">https://stg-rbi.webc.in/about-us/sources-of-information</t>
  </si>
  <si>
    <t xml:space="preserve">On-page index + search, Tables</t>
  </si>
  <si>
    <t xml:space="preserve">https://stg-rbi.webc.in/about-us/media-kit</t>
  </si>
  <si>
    <t xml:space="preserve">https://stg-rbi.webc.in/press-releases</t>
  </si>
  <si>
    <t xml:space="preserve">Listing with filters</t>
  </si>
  <si>
    <t xml:space="preserve">Filters, Pagination, Accordions/toggles, Cards, PDF links</t>
  </si>
  <si>
    <t xml:space="preserve">https://stg-rbi.webc.in/banker-to-banks/overview</t>
  </si>
  <si>
    <t xml:space="preserve">On-page index + search</t>
  </si>
  <si>
    <t xml:space="preserve">https://stg-rbi.webc.in/consumer-education-and-protection-department/overview</t>
  </si>
  <si>
    <t xml:space="preserve">https://stg-rbi.webc.in/issuer-of-currency/overview</t>
  </si>
  <si>
    <t xml:space="preserve">https://stg-rbi.webc.in/banker-and-debt-manager-to-government/overview</t>
  </si>
  <si>
    <t xml:space="preserve">https://stg-rbi.webc.in/enforcement-department/overview</t>
  </si>
  <si>
    <t xml:space="preserve">https://stg-rbi.webc.in/external-investments-and-operations/overview</t>
  </si>
  <si>
    <t xml:space="preserve">https://stg-rbi.webc.in/fintech/overview</t>
  </si>
  <si>
    <t xml:space="preserve">https://stg-rbi.webc.in/financial-inclusion-and-development/overview</t>
  </si>
  <si>
    <t xml:space="preserve">https://stg-rbi.webc.in/financial-markets/overview</t>
  </si>
  <si>
    <t xml:space="preserve">https://stg-rbi.webc.in/financial-stability-unit/overview</t>
  </si>
  <si>
    <t xml:space="preserve">https://stg-rbi.webc.in/foreign-exchange-management/overview</t>
  </si>
  <si>
    <t xml:space="preserve">https://stg-rbi.webc.in/functions/international-relations</t>
  </si>
  <si>
    <t xml:space="preserve">https://stg-rbi.webc.in/monetary-policy/overview</t>
  </si>
  <si>
    <t xml:space="preserve">On-page index + search, Tables, PDF links</t>
  </si>
  <si>
    <t xml:space="preserve">https://stg-rbi.webc.in/payment-and-settlement-systems/overview</t>
  </si>
  <si>
    <t xml:space="preserve">Broken (404)</t>
  </si>
  <si>
    <t xml:space="preserve">HTTP 404</t>
  </si>
  <si>
    <t xml:space="preserve">https://stg-rbi.webc.in/research-and-data/overview</t>
  </si>
  <si>
    <t xml:space="preserve">https://stg-rbi.webc.in/functions/supervision</t>
  </si>
  <si>
    <t xml:space="preserve">https://stg-rbi.webc.in/notifications/master-directions</t>
  </si>
  <si>
    <t xml:space="preserve">https://stg-rbi.webc.in/notifications/master-circulars</t>
  </si>
  <si>
    <t xml:space="preserve">https://stg-rbi.webc.in/notifications/amendment-directions</t>
  </si>
  <si>
    <t xml:space="preserve">https://stg-rbi.webc.in/notifications/index-to-rbi-circulars</t>
  </si>
  <si>
    <t xml:space="preserve">Filters, Pagination, Accordions/toggles, Tables</t>
  </si>
  <si>
    <t xml:space="preserve">https://stg-rbi.webc.in/notifications/standalone-circulars</t>
  </si>
  <si>
    <t xml:space="preserve">https://stg-rbi.webc.in/notifications/circular-withdrawn</t>
  </si>
  <si>
    <t xml:space="preserve">https://stg-rbi.webc.in/notifications/draft-notifications</t>
  </si>
  <si>
    <t xml:space="preserve">Filters, Pagination, Accordions/toggles, Cards</t>
  </si>
  <si>
    <t xml:space="preserve">Not-found template (soft 404)</t>
  </si>
  <si>
    <t xml:space="preserve">SOFT 404</t>
  </si>
  <si>
    <t xml:space="preserve">https://stg-rbi.webc.in/speech-and-media/media-interactions</t>
  </si>
  <si>
    <t xml:space="preserve">Filters, Pagination, Accordions/toggles</t>
  </si>
  <si>
    <t xml:space="preserve">https://stg-rbi.webc.in/speech-and-media/podcasts</t>
  </si>
  <si>
    <t xml:space="preserve">Filters, Accordions/toggles</t>
  </si>
  <si>
    <t xml:space="preserve">https://stg-rbi.webc.in/speech-and-media/memorial-lectures</t>
  </si>
  <si>
    <t xml:space="preserve">https://stg-rbi.webc.in/legal-framework/act</t>
  </si>
  <si>
    <t xml:space="preserve">Card grid</t>
  </si>
  <si>
    <t xml:space="preserve">Cards, PDF links</t>
  </si>
  <si>
    <t xml:space="preserve">https://stg-rbi.webc.in/legal-framework/rules</t>
  </si>
  <si>
    <t xml:space="preserve">https://stg-rbi.webc.in/legal-framework/regulations</t>
  </si>
  <si>
    <t xml:space="preserve">https://stg-rbi.webc.in/legal-framework/schemes</t>
  </si>
  <si>
    <t xml:space="preserve">https://stg-rbi.webc.in/issuer-of-currency/mani</t>
  </si>
  <si>
    <t xml:space="preserve">https://stg-rbi.webc.in/complaints</t>
  </si>
  <si>
    <t xml:space="preserve">Tables, PDF links</t>
  </si>
  <si>
    <t xml:space="preserve">https://stg-rbi.webc.in/citizens-charter</t>
  </si>
  <si>
    <t xml:space="preserve">https://stg-rbi.webc.in/regulated-entities</t>
  </si>
  <si>
    <t xml:space="preserve">https://stg-rbi.webc.in/faqs</t>
  </si>
  <si>
    <t xml:space="preserve">https://stg-rbi.webc.in/right-to-information-act</t>
  </si>
  <si>
    <t xml:space="preserve">https://stg-rbi.webc.in/publications/biennial</t>
  </si>
  <si>
    <t xml:space="preserve">Cards</t>
  </si>
  <si>
    <t xml:space="preserve">https://stg-rbi.webc.in/publications/annual</t>
  </si>
  <si>
    <t xml:space="preserve">https://stg-rbi.webc.in/publications/half-yearly</t>
  </si>
  <si>
    <t xml:space="preserve">https://stg-rbi.webc.in/publications/quarterly</t>
  </si>
  <si>
    <t xml:space="preserve">https://stg-rbi.webc.in/publications/bi-monthly</t>
  </si>
  <si>
    <t xml:space="preserve">https://stg-rbi.webc.in/publications/monthly</t>
  </si>
  <si>
    <t xml:space="preserve">https://stg-rbi.webc.in/publications/weekly</t>
  </si>
  <si>
    <t xml:space="preserve">https://stg-rbi.webc.in/publications/occasional</t>
  </si>
  <si>
    <t xml:space="preserve">https://stg-rbi.webc.in/publications/reports</t>
  </si>
  <si>
    <t xml:space="preserve">https://stg-rbi.webc.in/publications/working-papers</t>
  </si>
  <si>
    <t xml:space="preserve">Filters, Pagination, Accordions/toggles, PDF links</t>
  </si>
  <si>
    <t xml:space="preserve">https://stg-rbi.webc.in/external-research-schemes</t>
  </si>
  <si>
    <t xml:space="preserve">https://stg-rbi.webc.in/statistics/public-debt-statistics</t>
  </si>
  <si>
    <t xml:space="preserve">Menu/footer pages listed here; detail pages (≈60,000 press releases etc.) are sampled by the crawler (MAX_PER_SECTION).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</si>
</sst>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COUNTA('Test Cases'!A2:A269)</f>
        <v>268</v>
      </c>
    </row>
    <row r="5" customFormat="false" ht="15" hidden="false" customHeight="false" outlineLevel="0" collapsed="false">
      <c r="A5" s="3" t="s">
        <v>3</v>
      </c>
      <c r="B5" s="4" t="n">
        <f aca="false">COUNTIF('Test Cases'!L2:L269,"Automated")</f>
        <v>185</v>
      </c>
    </row>
    <row r="6" customFormat="false" ht="15" hidden="false" customHeight="false" outlineLevel="0" collapsed="false">
      <c r="A6" s="3" t="s">
        <v>4</v>
      </c>
      <c r="B6" s="4" t="n">
        <f aca="false">COUNTIF('Test Cases'!L2:L269,"Manual")</f>
        <v>83</v>
      </c>
    </row>
    <row r="7" customFormat="false" ht="15" hidden="false" customHeight="false" outlineLevel="0" collapsed="false">
      <c r="A7" s="3" t="s">
        <v>5</v>
      </c>
      <c r="B7" s="5" t="n">
        <f aca="false">IF(B4=0,0,B5/B4)</f>
        <v>0.690298507462687</v>
      </c>
    </row>
    <row r="8" customFormat="false" ht="15" hidden="false" customHeight="false" outlineLevel="0" collapsed="false">
      <c r="A8" s="3" t="s">
        <v>6</v>
      </c>
      <c r="B8" s="4" t="n">
        <f aca="false">COUNTIF('Test Cases'!N2:N269,"Pass")+COUNTIF('Test Cases'!N2:N269,"Fail")+COUNTIF('Test Cases'!N2:N269,"Blocked")</f>
        <v>0</v>
      </c>
    </row>
    <row r="9" customFormat="false" ht="15" hidden="false" customHeight="false" outlineLevel="0" collapsed="false">
      <c r="A9" s="3" t="s">
        <v>7</v>
      </c>
      <c r="B9" s="5" t="n">
        <f aca="false">IF(B8=0,0,COUNTIF('Test Cases'!N2:N269,"Pass")/B8)</f>
        <v>0</v>
      </c>
    </row>
    <row r="10" customFormat="false" ht="15" hidden="false" customHeight="false" outlineLevel="0" collapsed="false">
      <c r="A10" s="3" t="s">
        <v>8</v>
      </c>
      <c r="B10" s="4" t="n">
        <f aca="false">COUNTA('Known Defects'!A2:A16)</f>
        <v>15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7" t="s">
        <v>9</v>
      </c>
      <c r="B13" s="7" t="s">
        <v>10</v>
      </c>
      <c r="C13" s="7" t="s">
        <v>3</v>
      </c>
      <c r="D13" s="7" t="s">
        <v>11</v>
      </c>
      <c r="E13" s="7" t="s">
        <v>12</v>
      </c>
      <c r="F13" s="7" t="s">
        <v>13</v>
      </c>
      <c r="G13" s="7" t="s">
        <v>14</v>
      </c>
      <c r="H13" s="7" t="s">
        <v>15</v>
      </c>
    </row>
    <row r="14" customFormat="false" ht="15" hidden="false" customHeight="false" outlineLevel="0" collapsed="false">
      <c r="A14" s="4" t="s">
        <v>16</v>
      </c>
      <c r="B14" s="8" t="n">
        <f aca="false">COUNTIF('Test Cases'!B2:B269,A14)</f>
        <v>8</v>
      </c>
      <c r="C14" s="8" t="n">
        <f aca="false">COUNTIFS('Test Cases'!B2:B269,A14,'Test Cases'!L2:L269,"Automated")</f>
        <v>1</v>
      </c>
      <c r="D14" s="8" t="n">
        <f aca="false">COUNTIFS('Test Cases'!B2:B269,A14,'Test Cases'!N2:N269,"Not Run")</f>
        <v>8</v>
      </c>
      <c r="E14" s="8" t="n">
        <f aca="false">COUNTIFS('Test Cases'!B2:B269,A14,'Test Cases'!N2:N269,"Pass")</f>
        <v>0</v>
      </c>
      <c r="F14" s="8" t="n">
        <f aca="false">COUNTIFS('Test Cases'!B2:B269,A14,'Test Cases'!N2:N269,"Fail")</f>
        <v>0</v>
      </c>
      <c r="G14" s="8" t="n">
        <f aca="false">COUNTIFS('Test Cases'!B2:B269,A14,'Test Cases'!N2:N269,"Blocked")</f>
        <v>0</v>
      </c>
      <c r="H14" s="8" t="n">
        <f aca="false">COUNTIFS('Test Cases'!B2:B269,A14,'Test Cases'!N2:N269,"N/A")</f>
        <v>0</v>
      </c>
    </row>
    <row r="15" customFormat="false" ht="15" hidden="false" customHeight="false" outlineLevel="0" collapsed="false">
      <c r="A15" s="4" t="s">
        <v>17</v>
      </c>
      <c r="B15" s="8" t="n">
        <f aca="false">COUNTIF('Test Cases'!B2:B269,A15)</f>
        <v>20</v>
      </c>
      <c r="C15" s="8" t="n">
        <f aca="false">COUNTIFS('Test Cases'!B2:B269,A15,'Test Cases'!L2:L269,"Automated")</f>
        <v>14</v>
      </c>
      <c r="D15" s="8" t="n">
        <f aca="false">COUNTIFS('Test Cases'!B2:B269,A15,'Test Cases'!N2:N269,"Not Run")</f>
        <v>20</v>
      </c>
      <c r="E15" s="8" t="n">
        <f aca="false">COUNTIFS('Test Cases'!B2:B269,A15,'Test Cases'!N2:N269,"Pass")</f>
        <v>0</v>
      </c>
      <c r="F15" s="8" t="n">
        <f aca="false">COUNTIFS('Test Cases'!B2:B269,A15,'Test Cases'!N2:N269,"Fail")</f>
        <v>0</v>
      </c>
      <c r="G15" s="8" t="n">
        <f aca="false">COUNTIFS('Test Cases'!B2:B269,A15,'Test Cases'!N2:N269,"Blocked")</f>
        <v>0</v>
      </c>
      <c r="H15" s="8" t="n">
        <f aca="false">COUNTIFS('Test Cases'!B2:B269,A15,'Test Cases'!N2:N269,"N/A")</f>
        <v>0</v>
      </c>
    </row>
    <row r="16" customFormat="false" ht="15" hidden="false" customHeight="false" outlineLevel="0" collapsed="false">
      <c r="A16" s="4" t="s">
        <v>18</v>
      </c>
      <c r="B16" s="8" t="n">
        <f aca="false">COUNTIF('Test Cases'!B2:B269,A16)</f>
        <v>24</v>
      </c>
      <c r="C16" s="8" t="n">
        <f aca="false">COUNTIFS('Test Cases'!B2:B269,A16,'Test Cases'!L2:L269,"Automated")</f>
        <v>14</v>
      </c>
      <c r="D16" s="8" t="n">
        <f aca="false">COUNTIFS('Test Cases'!B2:B269,A16,'Test Cases'!N2:N269,"Not Run")</f>
        <v>24</v>
      </c>
      <c r="E16" s="8" t="n">
        <f aca="false">COUNTIFS('Test Cases'!B2:B269,A16,'Test Cases'!N2:N269,"Pass")</f>
        <v>0</v>
      </c>
      <c r="F16" s="8" t="n">
        <f aca="false">COUNTIFS('Test Cases'!B2:B269,A16,'Test Cases'!N2:N269,"Fail")</f>
        <v>0</v>
      </c>
      <c r="G16" s="8" t="n">
        <f aca="false">COUNTIFS('Test Cases'!B2:B269,A16,'Test Cases'!N2:N269,"Blocked")</f>
        <v>0</v>
      </c>
      <c r="H16" s="8" t="n">
        <f aca="false">COUNTIFS('Test Cases'!B2:B269,A16,'Test Cases'!N2:N269,"N/A")</f>
        <v>0</v>
      </c>
    </row>
    <row r="17" customFormat="false" ht="15" hidden="false" customHeight="false" outlineLevel="0" collapsed="false">
      <c r="A17" s="4" t="s">
        <v>19</v>
      </c>
      <c r="B17" s="8" t="n">
        <f aca="false">COUNTIF('Test Cases'!B2:B269,A17)</f>
        <v>18</v>
      </c>
      <c r="C17" s="8" t="n">
        <f aca="false">COUNTIFS('Test Cases'!B2:B269,A17,'Test Cases'!L2:L269,"Automated")</f>
        <v>13</v>
      </c>
      <c r="D17" s="8" t="n">
        <f aca="false">COUNTIFS('Test Cases'!B2:B269,A17,'Test Cases'!N2:N269,"Not Run")</f>
        <v>18</v>
      </c>
      <c r="E17" s="8" t="n">
        <f aca="false">COUNTIFS('Test Cases'!B2:B269,A17,'Test Cases'!N2:N269,"Pass")</f>
        <v>0</v>
      </c>
      <c r="F17" s="8" t="n">
        <f aca="false">COUNTIFS('Test Cases'!B2:B269,A17,'Test Cases'!N2:N269,"Fail")</f>
        <v>0</v>
      </c>
      <c r="G17" s="8" t="n">
        <f aca="false">COUNTIFS('Test Cases'!B2:B269,A17,'Test Cases'!N2:N269,"Blocked")</f>
        <v>0</v>
      </c>
      <c r="H17" s="8" t="n">
        <f aca="false">COUNTIFS('Test Cases'!B2:B269,A17,'Test Cases'!N2:N269,"N/A")</f>
        <v>0</v>
      </c>
    </row>
    <row r="18" customFormat="false" ht="15" hidden="false" customHeight="false" outlineLevel="0" collapsed="false">
      <c r="A18" s="4" t="s">
        <v>20</v>
      </c>
      <c r="B18" s="8" t="n">
        <f aca="false">COUNTIF('Test Cases'!B2:B269,A18)</f>
        <v>6</v>
      </c>
      <c r="C18" s="8" t="n">
        <f aca="false">COUNTIFS('Test Cases'!B2:B269,A18,'Test Cases'!L2:L269,"Automated")</f>
        <v>4</v>
      </c>
      <c r="D18" s="8" t="n">
        <f aca="false">COUNTIFS('Test Cases'!B2:B269,A18,'Test Cases'!N2:N269,"Not Run")</f>
        <v>6</v>
      </c>
      <c r="E18" s="8" t="n">
        <f aca="false">COUNTIFS('Test Cases'!B2:B269,A18,'Test Cases'!N2:N269,"Pass")</f>
        <v>0</v>
      </c>
      <c r="F18" s="8" t="n">
        <f aca="false">COUNTIFS('Test Cases'!B2:B269,A18,'Test Cases'!N2:N269,"Fail")</f>
        <v>0</v>
      </c>
      <c r="G18" s="8" t="n">
        <f aca="false">COUNTIFS('Test Cases'!B2:B269,A18,'Test Cases'!N2:N269,"Blocked")</f>
        <v>0</v>
      </c>
      <c r="H18" s="8" t="n">
        <f aca="false">COUNTIFS('Test Cases'!B2:B269,A18,'Test Cases'!N2:N269,"N/A")</f>
        <v>0</v>
      </c>
    </row>
    <row r="19" customFormat="false" ht="15" hidden="false" customHeight="false" outlineLevel="0" collapsed="false">
      <c r="A19" s="4" t="s">
        <v>21</v>
      </c>
      <c r="B19" s="8" t="n">
        <f aca="false">COUNTIF('Test Cases'!B2:B269,A19)</f>
        <v>33</v>
      </c>
      <c r="C19" s="8" t="n">
        <f aca="false">COUNTIFS('Test Cases'!B2:B269,A19,'Test Cases'!L2:L269,"Automated")</f>
        <v>26</v>
      </c>
      <c r="D19" s="8" t="n">
        <f aca="false">COUNTIFS('Test Cases'!B2:B269,A19,'Test Cases'!N2:N269,"Not Run")</f>
        <v>33</v>
      </c>
      <c r="E19" s="8" t="n">
        <f aca="false">COUNTIFS('Test Cases'!B2:B269,A19,'Test Cases'!N2:N269,"Pass")</f>
        <v>0</v>
      </c>
      <c r="F19" s="8" t="n">
        <f aca="false">COUNTIFS('Test Cases'!B2:B269,A19,'Test Cases'!N2:N269,"Fail")</f>
        <v>0</v>
      </c>
      <c r="G19" s="8" t="n">
        <f aca="false">COUNTIFS('Test Cases'!B2:B269,A19,'Test Cases'!N2:N269,"Blocked")</f>
        <v>0</v>
      </c>
      <c r="H19" s="8" t="n">
        <f aca="false">COUNTIFS('Test Cases'!B2:B269,A19,'Test Cases'!N2:N269,"N/A")</f>
        <v>0</v>
      </c>
    </row>
    <row r="20" customFormat="false" ht="15" hidden="false" customHeight="false" outlineLevel="0" collapsed="false">
      <c r="A20" s="4" t="s">
        <v>22</v>
      </c>
      <c r="B20" s="8" t="n">
        <f aca="false">COUNTIF('Test Cases'!B2:B269,A20)</f>
        <v>26</v>
      </c>
      <c r="C20" s="8" t="n">
        <f aca="false">COUNTIFS('Test Cases'!B2:B269,A20,'Test Cases'!L2:L269,"Automated")</f>
        <v>26</v>
      </c>
      <c r="D20" s="8" t="n">
        <f aca="false">COUNTIFS('Test Cases'!B2:B269,A20,'Test Cases'!N2:N269,"Not Run")</f>
        <v>26</v>
      </c>
      <c r="E20" s="8" t="n">
        <f aca="false">COUNTIFS('Test Cases'!B2:B269,A20,'Test Cases'!N2:N269,"Pass")</f>
        <v>0</v>
      </c>
      <c r="F20" s="8" t="n">
        <f aca="false">COUNTIFS('Test Cases'!B2:B269,A20,'Test Cases'!N2:N269,"Fail")</f>
        <v>0</v>
      </c>
      <c r="G20" s="8" t="n">
        <f aca="false">COUNTIFS('Test Cases'!B2:B269,A20,'Test Cases'!N2:N269,"Blocked")</f>
        <v>0</v>
      </c>
      <c r="H20" s="8" t="n">
        <f aca="false">COUNTIFS('Test Cases'!B2:B269,A20,'Test Cases'!N2:N269,"N/A")</f>
        <v>0</v>
      </c>
    </row>
    <row r="21" customFormat="false" ht="15" hidden="false" customHeight="false" outlineLevel="0" collapsed="false">
      <c r="A21" s="4" t="s">
        <v>23</v>
      </c>
      <c r="B21" s="8" t="n">
        <f aca="false">COUNTIF('Test Cases'!B2:B269,A21)</f>
        <v>26</v>
      </c>
      <c r="C21" s="8" t="n">
        <f aca="false">COUNTIFS('Test Cases'!B2:B269,A21,'Test Cases'!L2:L269,"Automated")</f>
        <v>17</v>
      </c>
      <c r="D21" s="8" t="n">
        <f aca="false">COUNTIFS('Test Cases'!B2:B269,A21,'Test Cases'!N2:N269,"Not Run")</f>
        <v>26</v>
      </c>
      <c r="E21" s="8" t="n">
        <f aca="false">COUNTIFS('Test Cases'!B2:B269,A21,'Test Cases'!N2:N269,"Pass")</f>
        <v>0</v>
      </c>
      <c r="F21" s="8" t="n">
        <f aca="false">COUNTIFS('Test Cases'!B2:B269,A21,'Test Cases'!N2:N269,"Fail")</f>
        <v>0</v>
      </c>
      <c r="G21" s="8" t="n">
        <f aca="false">COUNTIFS('Test Cases'!B2:B269,A21,'Test Cases'!N2:N269,"Blocked")</f>
        <v>0</v>
      </c>
      <c r="H21" s="8" t="n">
        <f aca="false">COUNTIFS('Test Cases'!B2:B269,A21,'Test Cases'!N2:N269,"N/A")</f>
        <v>0</v>
      </c>
    </row>
    <row r="22" customFormat="false" ht="15" hidden="false" customHeight="false" outlineLevel="0" collapsed="false">
      <c r="A22" s="4" t="s">
        <v>24</v>
      </c>
      <c r="B22" s="8" t="n">
        <f aca="false">COUNTIF('Test Cases'!B2:B269,A22)</f>
        <v>16</v>
      </c>
      <c r="C22" s="8" t="n">
        <f aca="false">COUNTIFS('Test Cases'!B2:B269,A22,'Test Cases'!L2:L269,"Automated")</f>
        <v>14</v>
      </c>
      <c r="D22" s="8" t="n">
        <f aca="false">COUNTIFS('Test Cases'!B2:B269,A22,'Test Cases'!N2:N269,"Not Run")</f>
        <v>16</v>
      </c>
      <c r="E22" s="8" t="n">
        <f aca="false">COUNTIFS('Test Cases'!B2:B269,A22,'Test Cases'!N2:N269,"Pass")</f>
        <v>0</v>
      </c>
      <c r="F22" s="8" t="n">
        <f aca="false">COUNTIFS('Test Cases'!B2:B269,A22,'Test Cases'!N2:N269,"Fail")</f>
        <v>0</v>
      </c>
      <c r="G22" s="8" t="n">
        <f aca="false">COUNTIFS('Test Cases'!B2:B269,A22,'Test Cases'!N2:N269,"Blocked")</f>
        <v>0</v>
      </c>
      <c r="H22" s="8" t="n">
        <f aca="false">COUNTIFS('Test Cases'!B2:B269,A22,'Test Cases'!N2:N269,"N/A")</f>
        <v>0</v>
      </c>
    </row>
    <row r="23" customFormat="false" ht="15" hidden="false" customHeight="false" outlineLevel="0" collapsed="false">
      <c r="A23" s="4" t="s">
        <v>25</v>
      </c>
      <c r="B23" s="8" t="n">
        <f aca="false">COUNTIF('Test Cases'!B2:B269,A23)</f>
        <v>30</v>
      </c>
      <c r="C23" s="8" t="n">
        <f aca="false">COUNTIFS('Test Cases'!B2:B269,A23,'Test Cases'!L2:L269,"Automated")</f>
        <v>27</v>
      </c>
      <c r="D23" s="8" t="n">
        <f aca="false">COUNTIFS('Test Cases'!B2:B269,A23,'Test Cases'!N2:N269,"Not Run")</f>
        <v>30</v>
      </c>
      <c r="E23" s="8" t="n">
        <f aca="false">COUNTIFS('Test Cases'!B2:B269,A23,'Test Cases'!N2:N269,"Pass")</f>
        <v>0</v>
      </c>
      <c r="F23" s="8" t="n">
        <f aca="false">COUNTIFS('Test Cases'!B2:B269,A23,'Test Cases'!N2:N269,"Fail")</f>
        <v>0</v>
      </c>
      <c r="G23" s="8" t="n">
        <f aca="false">COUNTIFS('Test Cases'!B2:B269,A23,'Test Cases'!N2:N269,"Blocked")</f>
        <v>0</v>
      </c>
      <c r="H23" s="8" t="n">
        <f aca="false">COUNTIFS('Test Cases'!B2:B269,A23,'Test Cases'!N2:N269,"N/A")</f>
        <v>0</v>
      </c>
    </row>
    <row r="24" customFormat="false" ht="15" hidden="false" customHeight="false" outlineLevel="0" collapsed="false">
      <c r="A24" s="4" t="s">
        <v>26</v>
      </c>
      <c r="B24" s="8" t="n">
        <f aca="false">COUNTIF('Test Cases'!B2:B269,A24)</f>
        <v>5</v>
      </c>
      <c r="C24" s="8" t="n">
        <f aca="false">COUNTIFS('Test Cases'!B2:B269,A24,'Test Cases'!L2:L269,"Automated")</f>
        <v>4</v>
      </c>
      <c r="D24" s="8" t="n">
        <f aca="false">COUNTIFS('Test Cases'!B2:B269,A24,'Test Cases'!N2:N269,"Not Run")</f>
        <v>5</v>
      </c>
      <c r="E24" s="8" t="n">
        <f aca="false">COUNTIFS('Test Cases'!B2:B269,A24,'Test Cases'!N2:N269,"Pass")</f>
        <v>0</v>
      </c>
      <c r="F24" s="8" t="n">
        <f aca="false">COUNTIFS('Test Cases'!B2:B269,A24,'Test Cases'!N2:N269,"Fail")</f>
        <v>0</v>
      </c>
      <c r="G24" s="8" t="n">
        <f aca="false">COUNTIFS('Test Cases'!B2:B269,A24,'Test Cases'!N2:N269,"Blocked")</f>
        <v>0</v>
      </c>
      <c r="H24" s="8" t="n">
        <f aca="false">COUNTIFS('Test Cases'!B2:B269,A24,'Test Cases'!N2:N269,"N/A")</f>
        <v>0</v>
      </c>
    </row>
    <row r="25" customFormat="false" ht="15" hidden="false" customHeight="false" outlineLevel="0" collapsed="false">
      <c r="A25" s="4" t="s">
        <v>27</v>
      </c>
      <c r="B25" s="8" t="n">
        <f aca="false">COUNTIF('Test Cases'!B2:B269,A25)</f>
        <v>12</v>
      </c>
      <c r="C25" s="8" t="n">
        <f aca="false">COUNTIFS('Test Cases'!B2:B269,A25,'Test Cases'!L2:L269,"Automated")</f>
        <v>12</v>
      </c>
      <c r="D25" s="8" t="n">
        <f aca="false">COUNTIFS('Test Cases'!B2:B269,A25,'Test Cases'!N2:N269,"Not Run")</f>
        <v>12</v>
      </c>
      <c r="E25" s="8" t="n">
        <f aca="false">COUNTIFS('Test Cases'!B2:B269,A25,'Test Cases'!N2:N269,"Pass")</f>
        <v>0</v>
      </c>
      <c r="F25" s="8" t="n">
        <f aca="false">COUNTIFS('Test Cases'!B2:B269,A25,'Test Cases'!N2:N269,"Fail")</f>
        <v>0</v>
      </c>
      <c r="G25" s="8" t="n">
        <f aca="false">COUNTIFS('Test Cases'!B2:B269,A25,'Test Cases'!N2:N269,"Blocked")</f>
        <v>0</v>
      </c>
      <c r="H25" s="8" t="n">
        <f aca="false">COUNTIFS('Test Cases'!B2:B269,A25,'Test Cases'!N2:N269,"N/A")</f>
        <v>0</v>
      </c>
    </row>
    <row r="26" customFormat="false" ht="15" hidden="false" customHeight="false" outlineLevel="0" collapsed="false">
      <c r="A26" s="4" t="s">
        <v>28</v>
      </c>
      <c r="B26" s="8" t="n">
        <f aca="false">COUNTIF('Test Cases'!B2:B269,A26)</f>
        <v>17</v>
      </c>
      <c r="C26" s="8" t="n">
        <f aca="false">COUNTIFS('Test Cases'!B2:B269,A26,'Test Cases'!L2:L269,"Automated")</f>
        <v>5</v>
      </c>
      <c r="D26" s="8" t="n">
        <f aca="false">COUNTIFS('Test Cases'!B2:B269,A26,'Test Cases'!N2:N269,"Not Run")</f>
        <v>17</v>
      </c>
      <c r="E26" s="8" t="n">
        <f aca="false">COUNTIFS('Test Cases'!B2:B269,A26,'Test Cases'!N2:N269,"Pass")</f>
        <v>0</v>
      </c>
      <c r="F26" s="8" t="n">
        <f aca="false">COUNTIFS('Test Cases'!B2:B269,A26,'Test Cases'!N2:N269,"Fail")</f>
        <v>0</v>
      </c>
      <c r="G26" s="8" t="n">
        <f aca="false">COUNTIFS('Test Cases'!B2:B269,A26,'Test Cases'!N2:N269,"Blocked")</f>
        <v>0</v>
      </c>
      <c r="H26" s="8" t="n">
        <f aca="false">COUNTIFS('Test Cases'!B2:B269,A26,'Test Cases'!N2:N269,"N/A")</f>
        <v>0</v>
      </c>
    </row>
    <row r="27" customFormat="false" ht="15" hidden="false" customHeight="false" outlineLevel="0" collapsed="false">
      <c r="A27" s="4" t="s">
        <v>29</v>
      </c>
      <c r="B27" s="8" t="n">
        <f aca="false">COUNTIF('Test Cases'!B2:B269,A27)</f>
        <v>7</v>
      </c>
      <c r="C27" s="8" t="n">
        <f aca="false">COUNTIFS('Test Cases'!B2:B269,A27,'Test Cases'!L2:L269,"Automated")</f>
        <v>2</v>
      </c>
      <c r="D27" s="8" t="n">
        <f aca="false">COUNTIFS('Test Cases'!B2:B269,A27,'Test Cases'!N2:N269,"Not Run")</f>
        <v>7</v>
      </c>
      <c r="E27" s="8" t="n">
        <f aca="false">COUNTIFS('Test Cases'!B2:B269,A27,'Test Cases'!N2:N269,"Pass")</f>
        <v>0</v>
      </c>
      <c r="F27" s="8" t="n">
        <f aca="false">COUNTIFS('Test Cases'!B2:B269,A27,'Test Cases'!N2:N269,"Fail")</f>
        <v>0</v>
      </c>
      <c r="G27" s="8" t="n">
        <f aca="false">COUNTIFS('Test Cases'!B2:B269,A27,'Test Cases'!N2:N269,"Blocked")</f>
        <v>0</v>
      </c>
      <c r="H27" s="8" t="n">
        <f aca="false">COUNTIFS('Test Cases'!B2:B269,A27,'Test Cases'!N2:N269,"N/A")</f>
        <v>0</v>
      </c>
    </row>
    <row r="28" customFormat="false" ht="15" hidden="false" customHeight="false" outlineLevel="0" collapsed="false">
      <c r="A28" s="4" t="s">
        <v>30</v>
      </c>
      <c r="B28" s="8" t="n">
        <f aca="false">COUNTIF('Test Cases'!B2:B269,A28)</f>
        <v>7</v>
      </c>
      <c r="C28" s="8" t="n">
        <f aca="false">COUNTIFS('Test Cases'!B2:B269,A28,'Test Cases'!L2:L269,"Automated")</f>
        <v>1</v>
      </c>
      <c r="D28" s="8" t="n">
        <f aca="false">COUNTIFS('Test Cases'!B2:B269,A28,'Test Cases'!N2:N269,"Not Run")</f>
        <v>7</v>
      </c>
      <c r="E28" s="8" t="n">
        <f aca="false">COUNTIFS('Test Cases'!B2:B269,A28,'Test Cases'!N2:N269,"Pass")</f>
        <v>0</v>
      </c>
      <c r="F28" s="8" t="n">
        <f aca="false">COUNTIFS('Test Cases'!B2:B269,A28,'Test Cases'!N2:N269,"Fail")</f>
        <v>0</v>
      </c>
      <c r="G28" s="8" t="n">
        <f aca="false">COUNTIFS('Test Cases'!B2:B269,A28,'Test Cases'!N2:N269,"Blocked")</f>
        <v>0</v>
      </c>
      <c r="H28" s="8" t="n">
        <f aca="false">COUNTIFS('Test Cases'!B2:B269,A28,'Test Cases'!N2:N269,"N/A")</f>
        <v>0</v>
      </c>
    </row>
    <row r="29" customFormat="false" ht="15" hidden="false" customHeight="false" outlineLevel="0" collapsed="false">
      <c r="A29" s="4" t="s">
        <v>31</v>
      </c>
      <c r="B29" s="8" t="n">
        <f aca="false">COUNTIF('Test Cases'!B2:B269,A29)</f>
        <v>6</v>
      </c>
      <c r="C29" s="8" t="n">
        <f aca="false">COUNTIFS('Test Cases'!B2:B269,A29,'Test Cases'!L2:L269,"Automated")</f>
        <v>4</v>
      </c>
      <c r="D29" s="8" t="n">
        <f aca="false">COUNTIFS('Test Cases'!B2:B269,A29,'Test Cases'!N2:N269,"Not Run")</f>
        <v>6</v>
      </c>
      <c r="E29" s="8" t="n">
        <f aca="false">COUNTIFS('Test Cases'!B2:B269,A29,'Test Cases'!N2:N269,"Pass")</f>
        <v>0</v>
      </c>
      <c r="F29" s="8" t="n">
        <f aca="false">COUNTIFS('Test Cases'!B2:B269,A29,'Test Cases'!N2:N269,"Fail")</f>
        <v>0</v>
      </c>
      <c r="G29" s="8" t="n">
        <f aca="false">COUNTIFS('Test Cases'!B2:B269,A29,'Test Cases'!N2:N269,"Blocked")</f>
        <v>0</v>
      </c>
      <c r="H29" s="8" t="n">
        <f aca="false">COUNTIFS('Test Cases'!B2:B269,A29,'Test Cases'!N2:N269,"N/A")</f>
        <v>0</v>
      </c>
    </row>
    <row r="30" customFormat="false" ht="15" hidden="false" customHeight="false" outlineLevel="0" collapsed="false">
      <c r="A30" s="4" t="s">
        <v>32</v>
      </c>
      <c r="B30" s="8" t="n">
        <f aca="false">COUNTIF('Test Cases'!B2:B269,A30)</f>
        <v>7</v>
      </c>
      <c r="C30" s="8" t="n">
        <f aca="false">COUNTIFS('Test Cases'!B2:B269,A30,'Test Cases'!L2:L269,"Automated")</f>
        <v>1</v>
      </c>
      <c r="D30" s="8" t="n">
        <f aca="false">COUNTIFS('Test Cases'!B2:B269,A30,'Test Cases'!N2:N269,"Not Run")</f>
        <v>7</v>
      </c>
      <c r="E30" s="8" t="n">
        <f aca="false">COUNTIFS('Test Cases'!B2:B269,A30,'Test Cases'!N2:N269,"Pass")</f>
        <v>0</v>
      </c>
      <c r="F30" s="8" t="n">
        <f aca="false">COUNTIFS('Test Cases'!B2:B269,A30,'Test Cases'!N2:N269,"Fail")</f>
        <v>0</v>
      </c>
      <c r="G30" s="8" t="n">
        <f aca="false">COUNTIFS('Test Cases'!B2:B269,A30,'Test Cases'!N2:N269,"Blocked")</f>
        <v>0</v>
      </c>
      <c r="H30" s="8" t="n">
        <f aca="false">COUNTIFS('Test Cases'!B2:B269,A30,'Test Cases'!N2:N269,"N/A")</f>
        <v>0</v>
      </c>
    </row>
    <row r="31" customFormat="false" ht="15" hidden="false" customHeight="false" outlineLevel="0" collapsed="false">
      <c r="A31" s="3" t="s">
        <v>10</v>
      </c>
      <c r="B31" s="9" t="n">
        <f aca="false">SUM(B14:B30)</f>
        <v>268</v>
      </c>
      <c r="C31" s="9" t="n">
        <f aca="false">SUM(C14:C30)</f>
        <v>185</v>
      </c>
      <c r="D31" s="9" t="n">
        <f aca="false">SUM(D14:D30)</f>
        <v>268</v>
      </c>
      <c r="E31" s="9" t="n">
        <f aca="false">SUM(E14:E30)</f>
        <v>0</v>
      </c>
      <c r="F31" s="9" t="n">
        <f aca="false">SUM(F14:F30)</f>
        <v>0</v>
      </c>
      <c r="G31" s="9" t="n">
        <f aca="false">SUM(G14:G30)</f>
        <v>0</v>
      </c>
      <c r="H31" s="9" t="n">
        <f aca="false">SUM(H14:H30)</f>
        <v>0</v>
      </c>
    </row>
    <row r="33" customFormat="false" ht="15" hidden="false" customHeight="false" outlineLevel="0" collapsed="false">
      <c r="A33" s="6" t="s">
        <v>33</v>
      </c>
    </row>
    <row r="34" customFormat="false" ht="15" hidden="false" customHeight="false" outlineLevel="0" collapsed="false">
      <c r="A34" s="7" t="s">
        <v>33</v>
      </c>
      <c r="B34" s="7" t="s">
        <v>10</v>
      </c>
      <c r="C34" s="7" t="s">
        <v>3</v>
      </c>
      <c r="D34" s="7" t="s">
        <v>11</v>
      </c>
      <c r="E34" s="7" t="s">
        <v>12</v>
      </c>
      <c r="F34" s="7" t="s">
        <v>13</v>
      </c>
      <c r="G34" s="7" t="s">
        <v>14</v>
      </c>
      <c r="H34" s="7" t="s">
        <v>15</v>
      </c>
    </row>
    <row r="35" customFormat="false" ht="15" hidden="false" customHeight="false" outlineLevel="0" collapsed="false">
      <c r="A35" s="4" t="s">
        <v>34</v>
      </c>
      <c r="B35" s="8" t="n">
        <f aca="false">COUNTIF('Test Cases'!J2:J269,A35)</f>
        <v>21</v>
      </c>
      <c r="C35" s="8" t="n">
        <f aca="false">COUNTIFS('Test Cases'!J2:J269,A35,'Test Cases'!L2:L269,"Automated")</f>
        <v>10</v>
      </c>
      <c r="D35" s="8" t="n">
        <f aca="false">COUNTIFS('Test Cases'!J2:J269,A35,'Test Cases'!N2:N269,"Not Run")</f>
        <v>21</v>
      </c>
      <c r="E35" s="8" t="n">
        <f aca="false">COUNTIFS('Test Cases'!J2:J269,A35,'Test Cases'!N2:N269,"Pass")</f>
        <v>0</v>
      </c>
      <c r="F35" s="8" t="n">
        <f aca="false">COUNTIFS('Test Cases'!J2:J269,A35,'Test Cases'!N2:N269,"Fail")</f>
        <v>0</v>
      </c>
      <c r="G35" s="8" t="n">
        <f aca="false">COUNTIFS('Test Cases'!J2:J269,A35,'Test Cases'!N2:N269,"Blocked")</f>
        <v>0</v>
      </c>
      <c r="H35" s="8" t="n">
        <f aca="false">COUNTIFS('Test Cases'!J2:J269,A35,'Test Cases'!N2:N269,"N/A")</f>
        <v>0</v>
      </c>
    </row>
    <row r="36" customFormat="false" ht="15" hidden="false" customHeight="false" outlineLevel="0" collapsed="false">
      <c r="A36" s="4" t="s">
        <v>35</v>
      </c>
      <c r="B36" s="8" t="n">
        <f aca="false">COUNTIF('Test Cases'!J2:J269,A36)</f>
        <v>7</v>
      </c>
      <c r="C36" s="8" t="n">
        <f aca="false">COUNTIFS('Test Cases'!J2:J269,A36,'Test Cases'!L2:L269,"Automated")</f>
        <v>0</v>
      </c>
      <c r="D36" s="8" t="n">
        <f aca="false">COUNTIFS('Test Cases'!J2:J269,A36,'Test Cases'!N2:N269,"Not Run")</f>
        <v>7</v>
      </c>
      <c r="E36" s="8" t="n">
        <f aca="false">COUNTIFS('Test Cases'!J2:J269,A36,'Test Cases'!N2:N269,"Pass")</f>
        <v>0</v>
      </c>
      <c r="F36" s="8" t="n">
        <f aca="false">COUNTIFS('Test Cases'!J2:J269,A36,'Test Cases'!N2:N269,"Fail")</f>
        <v>0</v>
      </c>
      <c r="G36" s="8" t="n">
        <f aca="false">COUNTIFS('Test Cases'!J2:J269,A36,'Test Cases'!N2:N269,"Blocked")</f>
        <v>0</v>
      </c>
      <c r="H36" s="8" t="n">
        <f aca="false">COUNTIFS('Test Cases'!J2:J269,A36,'Test Cases'!N2:N269,"N/A")</f>
        <v>0</v>
      </c>
    </row>
    <row r="37" customFormat="false" ht="15" hidden="false" customHeight="false" outlineLevel="0" collapsed="false">
      <c r="A37" s="4" t="s">
        <v>36</v>
      </c>
      <c r="B37" s="8" t="n">
        <f aca="false">COUNTIF('Test Cases'!J2:J269,A37)</f>
        <v>4</v>
      </c>
      <c r="C37" s="8" t="n">
        <f aca="false">COUNTIFS('Test Cases'!J2:J269,A37,'Test Cases'!L2:L269,"Automated")</f>
        <v>1</v>
      </c>
      <c r="D37" s="8" t="n">
        <f aca="false">COUNTIFS('Test Cases'!J2:J269,A37,'Test Cases'!N2:N269,"Not Run")</f>
        <v>4</v>
      </c>
      <c r="E37" s="8" t="n">
        <f aca="false">COUNTIFS('Test Cases'!J2:J269,A37,'Test Cases'!N2:N269,"Pass")</f>
        <v>0</v>
      </c>
      <c r="F37" s="8" t="n">
        <f aca="false">COUNTIFS('Test Cases'!J2:J269,A37,'Test Cases'!N2:N269,"Fail")</f>
        <v>0</v>
      </c>
      <c r="G37" s="8" t="n">
        <f aca="false">COUNTIFS('Test Cases'!J2:J269,A37,'Test Cases'!N2:N269,"Blocked")</f>
        <v>0</v>
      </c>
      <c r="H37" s="8" t="n">
        <f aca="false">COUNTIFS('Test Cases'!J2:J269,A37,'Test Cases'!N2:N269,"N/A")</f>
        <v>0</v>
      </c>
    </row>
    <row r="38" customFormat="false" ht="15" hidden="false" customHeight="false" outlineLevel="0" collapsed="false">
      <c r="A38" s="4" t="s">
        <v>37</v>
      </c>
      <c r="B38" s="8" t="n">
        <f aca="false">COUNTIF('Test Cases'!J2:J269,A38)</f>
        <v>41</v>
      </c>
      <c r="C38" s="8" t="n">
        <f aca="false">COUNTIFS('Test Cases'!J2:J269,A38,'Test Cases'!L2:L269,"Automated")</f>
        <v>17</v>
      </c>
      <c r="D38" s="8" t="n">
        <f aca="false">COUNTIFS('Test Cases'!J2:J269,A38,'Test Cases'!N2:N269,"Not Run")</f>
        <v>41</v>
      </c>
      <c r="E38" s="8" t="n">
        <f aca="false">COUNTIFS('Test Cases'!J2:J269,A38,'Test Cases'!N2:N269,"Pass")</f>
        <v>0</v>
      </c>
      <c r="F38" s="8" t="n">
        <f aca="false">COUNTIFS('Test Cases'!J2:J269,A38,'Test Cases'!N2:N269,"Fail")</f>
        <v>0</v>
      </c>
      <c r="G38" s="8" t="n">
        <f aca="false">COUNTIFS('Test Cases'!J2:J269,A38,'Test Cases'!N2:N269,"Blocked")</f>
        <v>0</v>
      </c>
      <c r="H38" s="8" t="n">
        <f aca="false">COUNTIFS('Test Cases'!J2:J269,A38,'Test Cases'!N2:N269,"N/A")</f>
        <v>0</v>
      </c>
    </row>
    <row r="39" customFormat="false" ht="15" hidden="false" customHeight="false" outlineLevel="0" collapsed="false">
      <c r="A39" s="4" t="s">
        <v>38</v>
      </c>
      <c r="B39" s="8" t="n">
        <f aca="false">COUNTIF('Test Cases'!J2:J269,A39)</f>
        <v>142</v>
      </c>
      <c r="C39" s="8" t="n">
        <f aca="false">COUNTIFS('Test Cases'!J2:J269,A39,'Test Cases'!L2:L269,"Automated")</f>
        <v>132</v>
      </c>
      <c r="D39" s="8" t="n">
        <f aca="false">COUNTIFS('Test Cases'!J2:J269,A39,'Test Cases'!N2:N269,"Not Run")</f>
        <v>142</v>
      </c>
      <c r="E39" s="8" t="n">
        <f aca="false">COUNTIFS('Test Cases'!J2:J269,A39,'Test Cases'!N2:N269,"Pass")</f>
        <v>0</v>
      </c>
      <c r="F39" s="8" t="n">
        <f aca="false">COUNTIFS('Test Cases'!J2:J269,A39,'Test Cases'!N2:N269,"Fail")</f>
        <v>0</v>
      </c>
      <c r="G39" s="8" t="n">
        <f aca="false">COUNTIFS('Test Cases'!J2:J269,A39,'Test Cases'!N2:N269,"Blocked")</f>
        <v>0</v>
      </c>
      <c r="H39" s="8" t="n">
        <f aca="false">COUNTIFS('Test Cases'!J2:J269,A39,'Test Cases'!N2:N269,"N/A")</f>
        <v>0</v>
      </c>
    </row>
    <row r="40" customFormat="false" ht="15" hidden="false" customHeight="false" outlineLevel="0" collapsed="false">
      <c r="A40" s="4" t="s">
        <v>39</v>
      </c>
      <c r="B40" s="8" t="n">
        <f aca="false">COUNTIF('Test Cases'!J2:J269,A40)</f>
        <v>2</v>
      </c>
      <c r="C40" s="8" t="n">
        <f aca="false">COUNTIFS('Test Cases'!J2:J269,A40,'Test Cases'!L2:L269,"Automated")</f>
        <v>0</v>
      </c>
      <c r="D40" s="8" t="n">
        <f aca="false">COUNTIFS('Test Cases'!J2:J269,A40,'Test Cases'!N2:N269,"Not Run")</f>
        <v>2</v>
      </c>
      <c r="E40" s="8" t="n">
        <f aca="false">COUNTIFS('Test Cases'!J2:J269,A40,'Test Cases'!N2:N269,"Pass")</f>
        <v>0</v>
      </c>
      <c r="F40" s="8" t="n">
        <f aca="false">COUNTIFS('Test Cases'!J2:J269,A40,'Test Cases'!N2:N269,"Fail")</f>
        <v>0</v>
      </c>
      <c r="G40" s="8" t="n">
        <f aca="false">COUNTIFS('Test Cases'!J2:J269,A40,'Test Cases'!N2:N269,"Blocked")</f>
        <v>0</v>
      </c>
      <c r="H40" s="8" t="n">
        <f aca="false">COUNTIFS('Test Cases'!J2:J269,A40,'Test Cases'!N2:N269,"N/A")</f>
        <v>0</v>
      </c>
    </row>
    <row r="41" customFormat="false" ht="15" hidden="false" customHeight="false" outlineLevel="0" collapsed="false">
      <c r="A41" s="4" t="s">
        <v>30</v>
      </c>
      <c r="B41" s="8" t="n">
        <f aca="false">COUNTIF('Test Cases'!J2:J269,A41)</f>
        <v>7</v>
      </c>
      <c r="C41" s="8" t="n">
        <f aca="false">COUNTIFS('Test Cases'!J2:J269,A41,'Test Cases'!L2:L269,"Automated")</f>
        <v>1</v>
      </c>
      <c r="D41" s="8" t="n">
        <f aca="false">COUNTIFS('Test Cases'!J2:J269,A41,'Test Cases'!N2:N269,"Not Run")</f>
        <v>7</v>
      </c>
      <c r="E41" s="8" t="n">
        <f aca="false">COUNTIFS('Test Cases'!J2:J269,A41,'Test Cases'!N2:N269,"Pass")</f>
        <v>0</v>
      </c>
      <c r="F41" s="8" t="n">
        <f aca="false">COUNTIFS('Test Cases'!J2:J269,A41,'Test Cases'!N2:N269,"Fail")</f>
        <v>0</v>
      </c>
      <c r="G41" s="8" t="n">
        <f aca="false">COUNTIFS('Test Cases'!J2:J269,A41,'Test Cases'!N2:N269,"Blocked")</f>
        <v>0</v>
      </c>
      <c r="H41" s="8" t="n">
        <f aca="false">COUNTIFS('Test Cases'!J2:J269,A41,'Test Cases'!N2:N269,"N/A")</f>
        <v>0</v>
      </c>
    </row>
    <row r="42" customFormat="false" ht="15" hidden="false" customHeight="false" outlineLevel="0" collapsed="false">
      <c r="A42" s="4" t="s">
        <v>31</v>
      </c>
      <c r="B42" s="8" t="n">
        <f aca="false">COUNTIF('Test Cases'!J2:J269,A42)</f>
        <v>8</v>
      </c>
      <c r="C42" s="8" t="n">
        <f aca="false">COUNTIFS('Test Cases'!J2:J269,A42,'Test Cases'!L2:L269,"Automated")</f>
        <v>5</v>
      </c>
      <c r="D42" s="8" t="n">
        <f aca="false">COUNTIFS('Test Cases'!J2:J269,A42,'Test Cases'!N2:N269,"Not Run")</f>
        <v>8</v>
      </c>
      <c r="E42" s="8" t="n">
        <f aca="false">COUNTIFS('Test Cases'!J2:J269,A42,'Test Cases'!N2:N269,"Pass")</f>
        <v>0</v>
      </c>
      <c r="F42" s="8" t="n">
        <f aca="false">COUNTIFS('Test Cases'!J2:J269,A42,'Test Cases'!N2:N269,"Fail")</f>
        <v>0</v>
      </c>
      <c r="G42" s="8" t="n">
        <f aca="false">COUNTIFS('Test Cases'!J2:J269,A42,'Test Cases'!N2:N269,"Blocked")</f>
        <v>0</v>
      </c>
      <c r="H42" s="8" t="n">
        <f aca="false">COUNTIFS('Test Cases'!J2:J269,A42,'Test Cases'!N2:N269,"N/A")</f>
        <v>0</v>
      </c>
    </row>
    <row r="43" customFormat="false" ht="15" hidden="false" customHeight="false" outlineLevel="0" collapsed="false">
      <c r="A43" s="4" t="s">
        <v>40</v>
      </c>
      <c r="B43" s="8" t="n">
        <f aca="false">COUNTIF('Test Cases'!J2:J269,A43)</f>
        <v>8</v>
      </c>
      <c r="C43" s="8" t="n">
        <f aca="false">COUNTIFS('Test Cases'!J2:J269,A43,'Test Cases'!L2:L269,"Automated")</f>
        <v>3</v>
      </c>
      <c r="D43" s="8" t="n">
        <f aca="false">COUNTIFS('Test Cases'!J2:J269,A43,'Test Cases'!N2:N269,"Not Run")</f>
        <v>8</v>
      </c>
      <c r="E43" s="8" t="n">
        <f aca="false">COUNTIFS('Test Cases'!J2:J269,A43,'Test Cases'!N2:N269,"Pass")</f>
        <v>0</v>
      </c>
      <c r="F43" s="8" t="n">
        <f aca="false">COUNTIFS('Test Cases'!J2:J269,A43,'Test Cases'!N2:N269,"Fail")</f>
        <v>0</v>
      </c>
      <c r="G43" s="8" t="n">
        <f aca="false">COUNTIFS('Test Cases'!J2:J269,A43,'Test Cases'!N2:N269,"Blocked")</f>
        <v>0</v>
      </c>
      <c r="H43" s="8" t="n">
        <f aca="false">COUNTIFS('Test Cases'!J2:J269,A43,'Test Cases'!N2:N269,"N/A")</f>
        <v>0</v>
      </c>
    </row>
    <row r="44" customFormat="false" ht="15" hidden="false" customHeight="false" outlineLevel="0" collapsed="false">
      <c r="A44" s="4" t="s">
        <v>41</v>
      </c>
      <c r="B44" s="8" t="n">
        <f aca="false">COUNTIF('Test Cases'!J2:J269,A44)</f>
        <v>28</v>
      </c>
      <c r="C44" s="8" t="n">
        <f aca="false">COUNTIFS('Test Cases'!J2:J269,A44,'Test Cases'!L2:L269,"Automated")</f>
        <v>16</v>
      </c>
      <c r="D44" s="8" t="n">
        <f aca="false">COUNTIFS('Test Cases'!J2:J269,A44,'Test Cases'!N2:N269,"Not Run")</f>
        <v>28</v>
      </c>
      <c r="E44" s="8" t="n">
        <f aca="false">COUNTIFS('Test Cases'!J2:J269,A44,'Test Cases'!N2:N269,"Pass")</f>
        <v>0</v>
      </c>
      <c r="F44" s="8" t="n">
        <f aca="false">COUNTIFS('Test Cases'!J2:J269,A44,'Test Cases'!N2:N269,"Fail")</f>
        <v>0</v>
      </c>
      <c r="G44" s="8" t="n">
        <f aca="false">COUNTIFS('Test Cases'!J2:J269,A44,'Test Cases'!N2:N269,"Blocked")</f>
        <v>0</v>
      </c>
      <c r="H44" s="8" t="n">
        <f aca="false">COUNTIFS('Test Cases'!J2:J269,A44,'Test Cases'!N2:N269,"N/A")</f>
        <v>0</v>
      </c>
    </row>
    <row r="45" customFormat="false" ht="15" hidden="false" customHeight="false" outlineLevel="0" collapsed="false">
      <c r="A45" s="3" t="s">
        <v>10</v>
      </c>
      <c r="B45" s="9" t="n">
        <f aca="false">SUM(B35:B44)</f>
        <v>268</v>
      </c>
      <c r="C45" s="9" t="n">
        <f aca="false">SUM(C35:C44)</f>
        <v>185</v>
      </c>
      <c r="D45" s="9" t="n">
        <f aca="false">SUM(D35:D44)</f>
        <v>268</v>
      </c>
      <c r="E45" s="9" t="n">
        <f aca="false">SUM(E35:E44)</f>
        <v>0</v>
      </c>
      <c r="F45" s="9" t="n">
        <f aca="false">SUM(F35:F44)</f>
        <v>0</v>
      </c>
      <c r="G45" s="9" t="n">
        <f aca="false">SUM(G35:G44)</f>
        <v>0</v>
      </c>
      <c r="H45" s="9" t="n">
        <f aca="false">SUM(H35:H44)</f>
        <v>0</v>
      </c>
    </row>
    <row r="47" customFormat="false" ht="15" hidden="false" customHeight="false" outlineLevel="0" collapsed="false">
      <c r="A47" s="6" t="s">
        <v>42</v>
      </c>
    </row>
    <row r="48" customFormat="false" ht="15" hidden="false" customHeight="false" outlineLevel="0" collapsed="false">
      <c r="A48" s="7" t="s">
        <v>42</v>
      </c>
      <c r="B48" s="7" t="s">
        <v>10</v>
      </c>
      <c r="C48" s="7" t="s">
        <v>3</v>
      </c>
      <c r="D48" s="7" t="s">
        <v>11</v>
      </c>
      <c r="E48" s="7" t="s">
        <v>12</v>
      </c>
      <c r="F48" s="7" t="s">
        <v>13</v>
      </c>
      <c r="G48" s="7" t="s">
        <v>14</v>
      </c>
      <c r="H48" s="7" t="s">
        <v>15</v>
      </c>
    </row>
    <row r="49" customFormat="false" ht="15" hidden="false" customHeight="false" outlineLevel="0" collapsed="false">
      <c r="A49" s="4" t="s">
        <v>43</v>
      </c>
      <c r="B49" s="8" t="n">
        <f aca="false">COUNTIF('Test Cases'!K2:K269,A49)</f>
        <v>105</v>
      </c>
      <c r="C49" s="8" t="n">
        <f aca="false">COUNTIFS('Test Cases'!K2:K269,A49,'Test Cases'!L2:L269,"Automated")</f>
        <v>92</v>
      </c>
      <c r="D49" s="8" t="n">
        <f aca="false">COUNTIFS('Test Cases'!K2:K269,A49,'Test Cases'!N2:N269,"Not Run")</f>
        <v>105</v>
      </c>
      <c r="E49" s="8" t="n">
        <f aca="false">COUNTIFS('Test Cases'!K2:K269,A49,'Test Cases'!N2:N269,"Pass")</f>
        <v>0</v>
      </c>
      <c r="F49" s="8" t="n">
        <f aca="false">COUNTIFS('Test Cases'!K2:K269,A49,'Test Cases'!N2:N269,"Fail")</f>
        <v>0</v>
      </c>
      <c r="G49" s="8" t="n">
        <f aca="false">COUNTIFS('Test Cases'!K2:K269,A49,'Test Cases'!N2:N269,"Blocked")</f>
        <v>0</v>
      </c>
      <c r="H49" s="8" t="n">
        <f aca="false">COUNTIFS('Test Cases'!K2:K269,A49,'Test Cases'!N2:N269,"N/A")</f>
        <v>0</v>
      </c>
    </row>
    <row r="50" customFormat="false" ht="15" hidden="false" customHeight="false" outlineLevel="0" collapsed="false">
      <c r="A50" s="4" t="s">
        <v>44</v>
      </c>
      <c r="B50" s="8" t="n">
        <f aca="false">COUNTIF('Test Cases'!K2:K269,A50)</f>
        <v>118</v>
      </c>
      <c r="C50" s="8" t="n">
        <f aca="false">COUNTIFS('Test Cases'!K2:K269,A50,'Test Cases'!L2:L269,"Automated")</f>
        <v>79</v>
      </c>
      <c r="D50" s="8" t="n">
        <f aca="false">COUNTIFS('Test Cases'!K2:K269,A50,'Test Cases'!N2:N269,"Not Run")</f>
        <v>118</v>
      </c>
      <c r="E50" s="8" t="n">
        <f aca="false">COUNTIFS('Test Cases'!K2:K269,A50,'Test Cases'!N2:N269,"Pass")</f>
        <v>0</v>
      </c>
      <c r="F50" s="8" t="n">
        <f aca="false">COUNTIFS('Test Cases'!K2:K269,A50,'Test Cases'!N2:N269,"Fail")</f>
        <v>0</v>
      </c>
      <c r="G50" s="8" t="n">
        <f aca="false">COUNTIFS('Test Cases'!K2:K269,A50,'Test Cases'!N2:N269,"Blocked")</f>
        <v>0</v>
      </c>
      <c r="H50" s="8" t="n">
        <f aca="false">COUNTIFS('Test Cases'!K2:K269,A50,'Test Cases'!N2:N269,"N/A")</f>
        <v>0</v>
      </c>
    </row>
    <row r="51" customFormat="false" ht="15" hidden="false" customHeight="false" outlineLevel="0" collapsed="false">
      <c r="A51" s="4" t="s">
        <v>45</v>
      </c>
      <c r="B51" s="8" t="n">
        <f aca="false">COUNTIF('Test Cases'!K2:K269,A51)</f>
        <v>45</v>
      </c>
      <c r="C51" s="8" t="n">
        <f aca="false">COUNTIFS('Test Cases'!K2:K269,A51,'Test Cases'!L2:L269,"Automated")</f>
        <v>14</v>
      </c>
      <c r="D51" s="8" t="n">
        <f aca="false">COUNTIFS('Test Cases'!K2:K269,A51,'Test Cases'!N2:N269,"Not Run")</f>
        <v>45</v>
      </c>
      <c r="E51" s="8" t="n">
        <f aca="false">COUNTIFS('Test Cases'!K2:K269,A51,'Test Cases'!N2:N269,"Pass")</f>
        <v>0</v>
      </c>
      <c r="F51" s="8" t="n">
        <f aca="false">COUNTIFS('Test Cases'!K2:K269,A51,'Test Cases'!N2:N269,"Fail")</f>
        <v>0</v>
      </c>
      <c r="G51" s="8" t="n">
        <f aca="false">COUNTIFS('Test Cases'!K2:K269,A51,'Test Cases'!N2:N269,"Blocked")</f>
        <v>0</v>
      </c>
      <c r="H51" s="8" t="n">
        <f aca="false">COUNTIFS('Test Cases'!K2:K269,A51,'Test Cases'!N2:N269,"N/A")</f>
        <v>0</v>
      </c>
    </row>
    <row r="52" customFormat="false" ht="15" hidden="false" customHeight="false" outlineLevel="0" collapsed="false">
      <c r="A52" s="3" t="s">
        <v>10</v>
      </c>
      <c r="B52" s="9" t="n">
        <f aca="false">SUM(B49:B51)</f>
        <v>268</v>
      </c>
      <c r="C52" s="9" t="n">
        <f aca="false">SUM(C49:C51)</f>
        <v>185</v>
      </c>
      <c r="D52" s="9" t="n">
        <f aca="false">SUM(D49:D51)</f>
        <v>268</v>
      </c>
      <c r="E52" s="9" t="n">
        <f aca="false">SUM(E49:E51)</f>
        <v>0</v>
      </c>
      <c r="F52" s="9" t="n">
        <f aca="false">SUM(F49:F51)</f>
        <v>0</v>
      </c>
      <c r="G52" s="9" t="n">
        <f aca="false">SUM(G49:G51)</f>
        <v>0</v>
      </c>
      <c r="H52" s="9" t="n">
        <f aca="false">SUM(H49:H51)</f>
        <v>0</v>
      </c>
    </row>
    <row r="54" customFormat="false" ht="15" hidden="false" customHeight="false" outlineLevel="0" collapsed="false">
      <c r="A54" s="6" t="s">
        <v>46</v>
      </c>
    </row>
    <row r="55" customFormat="false" ht="15" hidden="false" customHeight="false" outlineLevel="0" collapsed="false">
      <c r="A55" s="10" t="s">
        <v>47</v>
      </c>
    </row>
    <row r="56" customFormat="false" ht="15" hidden="false" customHeight="false" outlineLevel="0" collapsed="false">
      <c r="A56" s="10" t="s">
        <v>48</v>
      </c>
    </row>
    <row r="57" customFormat="false" ht="15" hidden="false" customHeight="false" outlineLevel="0" collapsed="false">
      <c r="A57" s="10" t="s">
        <v>49</v>
      </c>
    </row>
    <row r="58" customFormat="false" ht="15" hidden="false" customHeight="false" outlineLevel="0" collapsed="false">
      <c r="A58" s="10" t="s">
        <v>50</v>
      </c>
    </row>
    <row r="59" customFormat="false" ht="15" hidden="false" customHeight="false" outlineLevel="0" collapsed="false">
      <c r="A59" s="10" t="s">
        <v>51</v>
      </c>
    </row>
    <row r="60" customFormat="false" ht="15" hidden="false" customHeight="false" outlineLevel="0" collapsed="false">
      <c r="A60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42"/>
    <col collapsed="false" customWidth="true" hidden="false" outlineLevel="0" max="8" min="8" style="0" width="20"/>
    <col collapsed="false" customWidth="true" hidden="false" outlineLevel="0" max="9" min="9" style="0" width="46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4" min="14" style="0" width="11"/>
    <col collapsed="false" customWidth="true" hidden="false" outlineLevel="0" max="15" min="15" style="0" width="30"/>
    <col collapsed="false" customWidth="true" hidden="false" outlineLevel="0" max="16" min="16" style="0" width="24"/>
    <col collapsed="false" customWidth="true" hidden="false" outlineLevel="0" max="17" min="17" style="0" width="12"/>
    <col collapsed="false" customWidth="true" hidden="false" outlineLevel="0" max="18" min="18" style="0" width="11"/>
  </cols>
  <sheetData>
    <row r="1" customFormat="false" ht="30" hidden="false" customHeight="true" outlineLevel="0" collapsed="false">
      <c r="A1" s="7" t="s">
        <v>53</v>
      </c>
      <c r="B1" s="7" t="s">
        <v>54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  <c r="I1" s="7" t="s">
        <v>61</v>
      </c>
      <c r="J1" s="7" t="s">
        <v>62</v>
      </c>
      <c r="K1" s="7" t="s">
        <v>63</v>
      </c>
      <c r="L1" s="7" t="s">
        <v>64</v>
      </c>
      <c r="M1" s="7" t="s">
        <v>65</v>
      </c>
      <c r="N1" s="7" t="s">
        <v>66</v>
      </c>
      <c r="O1" s="7" t="s">
        <v>67</v>
      </c>
      <c r="P1" s="7" t="s">
        <v>68</v>
      </c>
      <c r="Q1" s="7" t="s">
        <v>69</v>
      </c>
      <c r="R1" s="7" t="s">
        <v>70</v>
      </c>
    </row>
    <row r="2" customFormat="false" ht="23.85" hidden="false" customHeight="false" outlineLevel="0" collapsed="false">
      <c r="A2" s="8" t="s">
        <v>71</v>
      </c>
      <c r="B2" s="11" t="s">
        <v>16</v>
      </c>
      <c r="C2" s="11" t="s">
        <v>72</v>
      </c>
      <c r="D2" s="11" t="s">
        <v>73</v>
      </c>
      <c r="E2" s="11" t="s">
        <v>74</v>
      </c>
      <c r="F2" s="11" t="s">
        <v>75</v>
      </c>
      <c r="G2" s="11" t="s">
        <v>76</v>
      </c>
      <c r="H2" s="11"/>
      <c r="I2" s="11" t="s">
        <v>77</v>
      </c>
      <c r="J2" s="8" t="s">
        <v>40</v>
      </c>
      <c r="K2" s="12" t="s">
        <v>43</v>
      </c>
      <c r="L2" s="8" t="s">
        <v>4</v>
      </c>
      <c r="M2" s="11"/>
      <c r="N2" s="13" t="s">
        <v>11</v>
      </c>
      <c r="O2" s="14"/>
      <c r="P2" s="14"/>
      <c r="Q2" s="14"/>
      <c r="R2" s="13"/>
    </row>
    <row r="3" customFormat="false" ht="23.85" hidden="false" customHeight="false" outlineLevel="0" collapsed="false">
      <c r="A3" s="8" t="s">
        <v>78</v>
      </c>
      <c r="B3" s="11" t="s">
        <v>16</v>
      </c>
      <c r="C3" s="11" t="s">
        <v>72</v>
      </c>
      <c r="D3" s="11" t="s">
        <v>73</v>
      </c>
      <c r="E3" s="11" t="s">
        <v>79</v>
      </c>
      <c r="F3" s="11" t="s">
        <v>75</v>
      </c>
      <c r="G3" s="11" t="s">
        <v>80</v>
      </c>
      <c r="H3" s="11" t="s">
        <v>81</v>
      </c>
      <c r="I3" s="11" t="s">
        <v>82</v>
      </c>
      <c r="J3" s="8" t="s">
        <v>38</v>
      </c>
      <c r="K3" s="12" t="s">
        <v>43</v>
      </c>
      <c r="L3" s="8" t="s">
        <v>3</v>
      </c>
      <c r="M3" s="11" t="s">
        <v>83</v>
      </c>
      <c r="N3" s="13" t="s">
        <v>11</v>
      </c>
      <c r="O3" s="14"/>
      <c r="P3" s="14"/>
      <c r="Q3" s="14"/>
      <c r="R3" s="13"/>
    </row>
    <row r="4" customFormat="false" ht="23.85" hidden="false" customHeight="false" outlineLevel="0" collapsed="false">
      <c r="A4" s="8" t="s">
        <v>84</v>
      </c>
      <c r="B4" s="11" t="s">
        <v>16</v>
      </c>
      <c r="C4" s="11" t="s">
        <v>72</v>
      </c>
      <c r="D4" s="11" t="s">
        <v>73</v>
      </c>
      <c r="E4" s="11" t="s">
        <v>85</v>
      </c>
      <c r="F4" s="11" t="s">
        <v>75</v>
      </c>
      <c r="G4" s="11" t="s">
        <v>86</v>
      </c>
      <c r="H4" s="11" t="s">
        <v>87</v>
      </c>
      <c r="I4" s="11" t="s">
        <v>88</v>
      </c>
      <c r="J4" s="8" t="s">
        <v>39</v>
      </c>
      <c r="K4" s="12" t="s">
        <v>43</v>
      </c>
      <c r="L4" s="8" t="s">
        <v>4</v>
      </c>
      <c r="M4" s="11"/>
      <c r="N4" s="13" t="s">
        <v>11</v>
      </c>
      <c r="O4" s="14"/>
      <c r="P4" s="14"/>
      <c r="Q4" s="14"/>
      <c r="R4" s="13"/>
    </row>
    <row r="5" customFormat="false" ht="23.85" hidden="false" customHeight="false" outlineLevel="0" collapsed="false">
      <c r="A5" s="8" t="s">
        <v>89</v>
      </c>
      <c r="B5" s="11" t="s">
        <v>16</v>
      </c>
      <c r="C5" s="11" t="s">
        <v>72</v>
      </c>
      <c r="D5" s="11" t="s">
        <v>73</v>
      </c>
      <c r="E5" s="11" t="s">
        <v>90</v>
      </c>
      <c r="F5" s="11" t="s">
        <v>75</v>
      </c>
      <c r="G5" s="11" t="s">
        <v>91</v>
      </c>
      <c r="H5" s="11"/>
      <c r="I5" s="11" t="s">
        <v>92</v>
      </c>
      <c r="J5" s="8" t="s">
        <v>39</v>
      </c>
      <c r="K5" s="12" t="s">
        <v>44</v>
      </c>
      <c r="L5" s="8" t="s">
        <v>4</v>
      </c>
      <c r="M5" s="11"/>
      <c r="N5" s="13" t="s">
        <v>11</v>
      </c>
      <c r="O5" s="14"/>
      <c r="P5" s="14"/>
      <c r="Q5" s="14"/>
      <c r="R5" s="13"/>
    </row>
    <row r="6" customFormat="false" ht="15" hidden="false" customHeight="false" outlineLevel="0" collapsed="false">
      <c r="A6" s="8" t="s">
        <v>93</v>
      </c>
      <c r="B6" s="11" t="s">
        <v>16</v>
      </c>
      <c r="C6" s="11" t="s">
        <v>94</v>
      </c>
      <c r="D6" s="11" t="s">
        <v>73</v>
      </c>
      <c r="E6" s="11" t="s">
        <v>95</v>
      </c>
      <c r="F6" s="11"/>
      <c r="G6" s="11" t="s">
        <v>96</v>
      </c>
      <c r="H6" s="11"/>
      <c r="I6" s="11" t="s">
        <v>97</v>
      </c>
      <c r="J6" s="8" t="s">
        <v>40</v>
      </c>
      <c r="K6" s="12" t="s">
        <v>43</v>
      </c>
      <c r="L6" s="8" t="s">
        <v>4</v>
      </c>
      <c r="M6" s="11"/>
      <c r="N6" s="13" t="s">
        <v>11</v>
      </c>
      <c r="O6" s="14"/>
      <c r="P6" s="14"/>
      <c r="Q6" s="14"/>
      <c r="R6" s="13"/>
    </row>
    <row r="7" customFormat="false" ht="35.05" hidden="false" customHeight="false" outlineLevel="0" collapsed="false">
      <c r="A7" s="8" t="s">
        <v>98</v>
      </c>
      <c r="B7" s="11" t="s">
        <v>16</v>
      </c>
      <c r="C7" s="11" t="s">
        <v>99</v>
      </c>
      <c r="D7" s="11" t="s">
        <v>73</v>
      </c>
      <c r="E7" s="11" t="s">
        <v>100</v>
      </c>
      <c r="F7" s="11"/>
      <c r="G7" s="11" t="s">
        <v>101</v>
      </c>
      <c r="H7" s="11"/>
      <c r="I7" s="11" t="s">
        <v>102</v>
      </c>
      <c r="J7" s="8" t="s">
        <v>40</v>
      </c>
      <c r="K7" s="12" t="s">
        <v>44</v>
      </c>
      <c r="L7" s="8" t="s">
        <v>4</v>
      </c>
      <c r="M7" s="11"/>
      <c r="N7" s="13" t="s">
        <v>11</v>
      </c>
      <c r="O7" s="14"/>
      <c r="P7" s="14"/>
      <c r="Q7" s="14"/>
      <c r="R7" s="13"/>
    </row>
    <row r="8" customFormat="false" ht="35.05" hidden="false" customHeight="false" outlineLevel="0" collapsed="false">
      <c r="A8" s="8" t="s">
        <v>103</v>
      </c>
      <c r="B8" s="11" t="s">
        <v>16</v>
      </c>
      <c r="C8" s="11" t="s">
        <v>104</v>
      </c>
      <c r="D8" s="11" t="s">
        <v>73</v>
      </c>
      <c r="E8" s="11" t="s">
        <v>105</v>
      </c>
      <c r="F8" s="11"/>
      <c r="G8" s="11" t="s">
        <v>106</v>
      </c>
      <c r="H8" s="11"/>
      <c r="I8" s="11" t="s">
        <v>107</v>
      </c>
      <c r="J8" s="8" t="s">
        <v>40</v>
      </c>
      <c r="K8" s="12" t="s">
        <v>44</v>
      </c>
      <c r="L8" s="8" t="s">
        <v>4</v>
      </c>
      <c r="M8" s="11"/>
      <c r="N8" s="13" t="s">
        <v>11</v>
      </c>
      <c r="O8" s="14"/>
      <c r="P8" s="14"/>
      <c r="Q8" s="14"/>
      <c r="R8" s="13"/>
    </row>
    <row r="9" customFormat="false" ht="23.85" hidden="false" customHeight="false" outlineLevel="0" collapsed="false">
      <c r="A9" s="8" t="s">
        <v>108</v>
      </c>
      <c r="B9" s="11" t="s">
        <v>16</v>
      </c>
      <c r="C9" s="11" t="s">
        <v>109</v>
      </c>
      <c r="D9" s="11" t="s">
        <v>73</v>
      </c>
      <c r="E9" s="11" t="s">
        <v>110</v>
      </c>
      <c r="F9" s="11"/>
      <c r="G9" s="11" t="s">
        <v>111</v>
      </c>
      <c r="H9" s="11"/>
      <c r="I9" s="11" t="s">
        <v>112</v>
      </c>
      <c r="J9" s="8" t="s">
        <v>31</v>
      </c>
      <c r="K9" s="12" t="s">
        <v>44</v>
      </c>
      <c r="L9" s="8" t="s">
        <v>4</v>
      </c>
      <c r="M9" s="11"/>
      <c r="N9" s="13" t="s">
        <v>11</v>
      </c>
      <c r="O9" s="14"/>
      <c r="P9" s="14"/>
      <c r="Q9" s="14"/>
      <c r="R9" s="13"/>
    </row>
    <row r="10" customFormat="false" ht="23.85" hidden="false" customHeight="false" outlineLevel="0" collapsed="false">
      <c r="A10" s="8" t="s">
        <v>113</v>
      </c>
      <c r="B10" s="11" t="s">
        <v>17</v>
      </c>
      <c r="C10" s="11" t="s">
        <v>114</v>
      </c>
      <c r="D10" s="11" t="s">
        <v>115</v>
      </c>
      <c r="E10" s="11" t="s">
        <v>116</v>
      </c>
      <c r="F10" s="11" t="s">
        <v>117</v>
      </c>
      <c r="G10" s="11" t="s">
        <v>118</v>
      </c>
      <c r="H10" s="11"/>
      <c r="I10" s="11" t="s">
        <v>119</v>
      </c>
      <c r="J10" s="8" t="s">
        <v>38</v>
      </c>
      <c r="K10" s="12" t="s">
        <v>43</v>
      </c>
      <c r="L10" s="8" t="s">
        <v>3</v>
      </c>
      <c r="M10" s="11" t="s">
        <v>120</v>
      </c>
      <c r="N10" s="13" t="s">
        <v>11</v>
      </c>
      <c r="O10" s="14"/>
      <c r="P10" s="14"/>
      <c r="Q10" s="14"/>
      <c r="R10" s="13"/>
    </row>
    <row r="11" customFormat="false" ht="23.85" hidden="false" customHeight="false" outlineLevel="0" collapsed="false">
      <c r="A11" s="8" t="s">
        <v>121</v>
      </c>
      <c r="B11" s="11" t="s">
        <v>17</v>
      </c>
      <c r="C11" s="11" t="s">
        <v>114</v>
      </c>
      <c r="D11" s="11" t="s">
        <v>115</v>
      </c>
      <c r="E11" s="11" t="s">
        <v>122</v>
      </c>
      <c r="F11" s="11" t="s">
        <v>117</v>
      </c>
      <c r="G11" s="11" t="s">
        <v>123</v>
      </c>
      <c r="H11" s="11"/>
      <c r="I11" s="11" t="s">
        <v>124</v>
      </c>
      <c r="J11" s="8" t="s">
        <v>34</v>
      </c>
      <c r="K11" s="12" t="s">
        <v>44</v>
      </c>
      <c r="L11" s="8" t="s">
        <v>4</v>
      </c>
      <c r="M11" s="11"/>
      <c r="N11" s="13" t="s">
        <v>11</v>
      </c>
      <c r="O11" s="14"/>
      <c r="P11" s="14"/>
      <c r="Q11" s="14"/>
      <c r="R11" s="13"/>
    </row>
    <row r="12" customFormat="false" ht="23.85" hidden="false" customHeight="false" outlineLevel="0" collapsed="false">
      <c r="A12" s="8" t="s">
        <v>125</v>
      </c>
      <c r="B12" s="11" t="s">
        <v>17</v>
      </c>
      <c r="C12" s="11" t="s">
        <v>126</v>
      </c>
      <c r="D12" s="11" t="s">
        <v>115</v>
      </c>
      <c r="E12" s="11" t="s">
        <v>127</v>
      </c>
      <c r="F12" s="11" t="s">
        <v>117</v>
      </c>
      <c r="G12" s="11" t="s">
        <v>128</v>
      </c>
      <c r="H12" s="11"/>
      <c r="I12" s="11" t="s">
        <v>129</v>
      </c>
      <c r="J12" s="8" t="s">
        <v>38</v>
      </c>
      <c r="K12" s="12" t="s">
        <v>43</v>
      </c>
      <c r="L12" s="8" t="s">
        <v>3</v>
      </c>
      <c r="M12" s="11" t="s">
        <v>120</v>
      </c>
      <c r="N12" s="13" t="s">
        <v>11</v>
      </c>
      <c r="O12" s="14"/>
      <c r="P12" s="14"/>
      <c r="Q12" s="14"/>
      <c r="R12" s="13"/>
    </row>
    <row r="13" customFormat="false" ht="23.85" hidden="false" customHeight="false" outlineLevel="0" collapsed="false">
      <c r="A13" s="8" t="s">
        <v>130</v>
      </c>
      <c r="B13" s="11" t="s">
        <v>17</v>
      </c>
      <c r="C13" s="11" t="s">
        <v>131</v>
      </c>
      <c r="D13" s="11" t="s">
        <v>115</v>
      </c>
      <c r="E13" s="11" t="s">
        <v>132</v>
      </c>
      <c r="F13" s="11" t="s">
        <v>133</v>
      </c>
      <c r="G13" s="11" t="s">
        <v>134</v>
      </c>
      <c r="H13" s="11"/>
      <c r="I13" s="11" t="s">
        <v>135</v>
      </c>
      <c r="J13" s="8" t="s">
        <v>38</v>
      </c>
      <c r="K13" s="12" t="s">
        <v>43</v>
      </c>
      <c r="L13" s="8" t="s">
        <v>3</v>
      </c>
      <c r="M13" s="11" t="s">
        <v>120</v>
      </c>
      <c r="N13" s="13" t="s">
        <v>11</v>
      </c>
      <c r="O13" s="14"/>
      <c r="P13" s="14"/>
      <c r="Q13" s="14"/>
      <c r="R13" s="13"/>
    </row>
    <row r="14" customFormat="false" ht="23.85" hidden="false" customHeight="false" outlineLevel="0" collapsed="false">
      <c r="A14" s="8" t="s">
        <v>136</v>
      </c>
      <c r="B14" s="11" t="s">
        <v>17</v>
      </c>
      <c r="C14" s="11" t="s">
        <v>131</v>
      </c>
      <c r="D14" s="11" t="s">
        <v>115</v>
      </c>
      <c r="E14" s="11" t="s">
        <v>137</v>
      </c>
      <c r="F14" s="11" t="s">
        <v>133</v>
      </c>
      <c r="G14" s="11" t="s">
        <v>138</v>
      </c>
      <c r="H14" s="11"/>
      <c r="I14" s="11" t="s">
        <v>135</v>
      </c>
      <c r="J14" s="8" t="s">
        <v>38</v>
      </c>
      <c r="K14" s="12" t="s">
        <v>43</v>
      </c>
      <c r="L14" s="8" t="s">
        <v>3</v>
      </c>
      <c r="M14" s="11" t="s">
        <v>120</v>
      </c>
      <c r="N14" s="13" t="s">
        <v>11</v>
      </c>
      <c r="O14" s="14"/>
      <c r="P14" s="14"/>
      <c r="Q14" s="14"/>
      <c r="R14" s="13"/>
    </row>
    <row r="15" customFormat="false" ht="23.85" hidden="false" customHeight="false" outlineLevel="0" collapsed="false">
      <c r="A15" s="8" t="s">
        <v>139</v>
      </c>
      <c r="B15" s="11" t="s">
        <v>17</v>
      </c>
      <c r="C15" s="11" t="s">
        <v>131</v>
      </c>
      <c r="D15" s="11" t="s">
        <v>115</v>
      </c>
      <c r="E15" s="11" t="s">
        <v>140</v>
      </c>
      <c r="F15" s="11" t="s">
        <v>133</v>
      </c>
      <c r="G15" s="11" t="s">
        <v>141</v>
      </c>
      <c r="H15" s="11"/>
      <c r="I15" s="11" t="s">
        <v>142</v>
      </c>
      <c r="J15" s="8" t="s">
        <v>38</v>
      </c>
      <c r="K15" s="12" t="s">
        <v>43</v>
      </c>
      <c r="L15" s="8" t="s">
        <v>3</v>
      </c>
      <c r="M15" s="11" t="s">
        <v>120</v>
      </c>
      <c r="N15" s="13" t="s">
        <v>11</v>
      </c>
      <c r="O15" s="14"/>
      <c r="P15" s="14"/>
      <c r="Q15" s="14"/>
      <c r="R15" s="13"/>
    </row>
    <row r="16" customFormat="false" ht="23.85" hidden="false" customHeight="false" outlineLevel="0" collapsed="false">
      <c r="A16" s="8" t="s">
        <v>143</v>
      </c>
      <c r="B16" s="11" t="s">
        <v>17</v>
      </c>
      <c r="C16" s="11" t="s">
        <v>131</v>
      </c>
      <c r="D16" s="11" t="s">
        <v>115</v>
      </c>
      <c r="E16" s="11" t="s">
        <v>144</v>
      </c>
      <c r="F16" s="11" t="s">
        <v>133</v>
      </c>
      <c r="G16" s="11" t="s">
        <v>145</v>
      </c>
      <c r="H16" s="11"/>
      <c r="I16" s="11" t="s">
        <v>146</v>
      </c>
      <c r="J16" s="8" t="s">
        <v>41</v>
      </c>
      <c r="K16" s="12" t="s">
        <v>44</v>
      </c>
      <c r="L16" s="8" t="s">
        <v>3</v>
      </c>
      <c r="M16" s="11" t="s">
        <v>120</v>
      </c>
      <c r="N16" s="13" t="s">
        <v>11</v>
      </c>
      <c r="O16" s="14"/>
      <c r="P16" s="14"/>
      <c r="Q16" s="14"/>
      <c r="R16" s="13"/>
    </row>
    <row r="17" customFormat="false" ht="23.85" hidden="false" customHeight="false" outlineLevel="0" collapsed="false">
      <c r="A17" s="8" t="s">
        <v>147</v>
      </c>
      <c r="B17" s="11" t="s">
        <v>17</v>
      </c>
      <c r="C17" s="11" t="s">
        <v>131</v>
      </c>
      <c r="D17" s="11" t="s">
        <v>115</v>
      </c>
      <c r="E17" s="11" t="s">
        <v>148</v>
      </c>
      <c r="F17" s="11" t="s">
        <v>133</v>
      </c>
      <c r="G17" s="11" t="s">
        <v>149</v>
      </c>
      <c r="H17" s="11"/>
      <c r="I17" s="11" t="s">
        <v>150</v>
      </c>
      <c r="J17" s="8" t="s">
        <v>34</v>
      </c>
      <c r="K17" s="12" t="s">
        <v>44</v>
      </c>
      <c r="L17" s="8" t="s">
        <v>3</v>
      </c>
      <c r="M17" s="11" t="s">
        <v>120</v>
      </c>
      <c r="N17" s="13" t="s">
        <v>11</v>
      </c>
      <c r="O17" s="14"/>
      <c r="P17" s="14"/>
      <c r="Q17" s="14"/>
      <c r="R17" s="13"/>
    </row>
    <row r="18" customFormat="false" ht="23.85" hidden="false" customHeight="false" outlineLevel="0" collapsed="false">
      <c r="A18" s="8" t="s">
        <v>151</v>
      </c>
      <c r="B18" s="11" t="s">
        <v>17</v>
      </c>
      <c r="C18" s="11" t="s">
        <v>131</v>
      </c>
      <c r="D18" s="11" t="s">
        <v>115</v>
      </c>
      <c r="E18" s="11" t="s">
        <v>152</v>
      </c>
      <c r="F18" s="11" t="s">
        <v>133</v>
      </c>
      <c r="G18" s="11" t="s">
        <v>153</v>
      </c>
      <c r="H18" s="11"/>
      <c r="I18" s="11" t="s">
        <v>154</v>
      </c>
      <c r="J18" s="8" t="s">
        <v>41</v>
      </c>
      <c r="K18" s="12" t="s">
        <v>45</v>
      </c>
      <c r="L18" s="8" t="s">
        <v>4</v>
      </c>
      <c r="M18" s="11"/>
      <c r="N18" s="13" t="s">
        <v>11</v>
      </c>
      <c r="O18" s="14"/>
      <c r="P18" s="14"/>
      <c r="Q18" s="14"/>
      <c r="R18" s="13"/>
    </row>
    <row r="19" customFormat="false" ht="23.85" hidden="false" customHeight="false" outlineLevel="0" collapsed="false">
      <c r="A19" s="8" t="s">
        <v>155</v>
      </c>
      <c r="B19" s="11" t="s">
        <v>17</v>
      </c>
      <c r="C19" s="11" t="s">
        <v>131</v>
      </c>
      <c r="D19" s="11" t="s">
        <v>115</v>
      </c>
      <c r="E19" s="11" t="s">
        <v>156</v>
      </c>
      <c r="F19" s="11" t="s">
        <v>133</v>
      </c>
      <c r="G19" s="11" t="s">
        <v>157</v>
      </c>
      <c r="H19" s="11"/>
      <c r="I19" s="11" t="s">
        <v>158</v>
      </c>
      <c r="J19" s="8" t="s">
        <v>34</v>
      </c>
      <c r="K19" s="12" t="s">
        <v>44</v>
      </c>
      <c r="L19" s="8" t="s">
        <v>4</v>
      </c>
      <c r="M19" s="11"/>
      <c r="N19" s="13" t="s">
        <v>11</v>
      </c>
      <c r="O19" s="14"/>
      <c r="P19" s="14"/>
      <c r="Q19" s="14"/>
      <c r="R19" s="13"/>
    </row>
    <row r="20" customFormat="false" ht="23.85" hidden="false" customHeight="false" outlineLevel="0" collapsed="false">
      <c r="A20" s="8" t="s">
        <v>159</v>
      </c>
      <c r="B20" s="11" t="s">
        <v>17</v>
      </c>
      <c r="C20" s="11" t="s">
        <v>131</v>
      </c>
      <c r="D20" s="11" t="s">
        <v>115</v>
      </c>
      <c r="E20" s="11" t="s">
        <v>160</v>
      </c>
      <c r="F20" s="11" t="s">
        <v>133</v>
      </c>
      <c r="G20" s="11" t="s">
        <v>161</v>
      </c>
      <c r="H20" s="11"/>
      <c r="I20" s="11" t="s">
        <v>162</v>
      </c>
      <c r="J20" s="8" t="s">
        <v>37</v>
      </c>
      <c r="K20" s="12" t="s">
        <v>45</v>
      </c>
      <c r="L20" s="8" t="s">
        <v>3</v>
      </c>
      <c r="M20" s="11" t="s">
        <v>163</v>
      </c>
      <c r="N20" s="13" t="s">
        <v>11</v>
      </c>
      <c r="O20" s="14"/>
      <c r="P20" s="14"/>
      <c r="Q20" s="14"/>
      <c r="R20" s="13"/>
    </row>
    <row r="21" customFormat="false" ht="23.85" hidden="false" customHeight="false" outlineLevel="0" collapsed="false">
      <c r="A21" s="8" t="s">
        <v>164</v>
      </c>
      <c r="B21" s="11" t="s">
        <v>17</v>
      </c>
      <c r="C21" s="11" t="s">
        <v>165</v>
      </c>
      <c r="D21" s="11" t="s">
        <v>115</v>
      </c>
      <c r="E21" s="11" t="s">
        <v>166</v>
      </c>
      <c r="F21" s="11" t="s">
        <v>133</v>
      </c>
      <c r="G21" s="11" t="s">
        <v>167</v>
      </c>
      <c r="H21" s="11"/>
      <c r="I21" s="11" t="s">
        <v>168</v>
      </c>
      <c r="J21" s="8" t="s">
        <v>38</v>
      </c>
      <c r="K21" s="12" t="s">
        <v>43</v>
      </c>
      <c r="L21" s="8" t="s">
        <v>3</v>
      </c>
      <c r="M21" s="11" t="s">
        <v>120</v>
      </c>
      <c r="N21" s="13" t="s">
        <v>11</v>
      </c>
      <c r="O21" s="14"/>
      <c r="P21" s="14"/>
      <c r="Q21" s="14"/>
      <c r="R21" s="13"/>
    </row>
    <row r="22" customFormat="false" ht="23.85" hidden="false" customHeight="false" outlineLevel="0" collapsed="false">
      <c r="A22" s="8" t="s">
        <v>169</v>
      </c>
      <c r="B22" s="11" t="s">
        <v>17</v>
      </c>
      <c r="C22" s="11" t="s">
        <v>165</v>
      </c>
      <c r="D22" s="11" t="s">
        <v>115</v>
      </c>
      <c r="E22" s="11" t="s">
        <v>170</v>
      </c>
      <c r="F22" s="11" t="s">
        <v>133</v>
      </c>
      <c r="G22" s="11" t="s">
        <v>171</v>
      </c>
      <c r="H22" s="11"/>
      <c r="I22" s="11" t="s">
        <v>172</v>
      </c>
      <c r="J22" s="8" t="s">
        <v>38</v>
      </c>
      <c r="K22" s="12" t="s">
        <v>43</v>
      </c>
      <c r="L22" s="8" t="s">
        <v>3</v>
      </c>
      <c r="M22" s="11" t="s">
        <v>120</v>
      </c>
      <c r="N22" s="13" t="s">
        <v>11</v>
      </c>
      <c r="O22" s="14"/>
      <c r="P22" s="14"/>
      <c r="Q22" s="14"/>
      <c r="R22" s="13"/>
    </row>
    <row r="23" customFormat="false" ht="23.85" hidden="false" customHeight="false" outlineLevel="0" collapsed="false">
      <c r="A23" s="8" t="s">
        <v>173</v>
      </c>
      <c r="B23" s="11" t="s">
        <v>17</v>
      </c>
      <c r="C23" s="11" t="s">
        <v>165</v>
      </c>
      <c r="D23" s="11" t="s">
        <v>115</v>
      </c>
      <c r="E23" s="11" t="s">
        <v>174</v>
      </c>
      <c r="F23" s="11" t="s">
        <v>133</v>
      </c>
      <c r="G23" s="11" t="s">
        <v>175</v>
      </c>
      <c r="H23" s="11"/>
      <c r="I23" s="11" t="s">
        <v>176</v>
      </c>
      <c r="J23" s="8" t="s">
        <v>38</v>
      </c>
      <c r="K23" s="12" t="s">
        <v>43</v>
      </c>
      <c r="L23" s="8" t="s">
        <v>3</v>
      </c>
      <c r="M23" s="11" t="s">
        <v>120</v>
      </c>
      <c r="N23" s="13" t="s">
        <v>11</v>
      </c>
      <c r="O23" s="14"/>
      <c r="P23" s="14"/>
      <c r="Q23" s="14"/>
      <c r="R23" s="13"/>
    </row>
    <row r="24" customFormat="false" ht="23.85" hidden="false" customHeight="false" outlineLevel="0" collapsed="false">
      <c r="A24" s="8" t="s">
        <v>177</v>
      </c>
      <c r="B24" s="11" t="s">
        <v>17</v>
      </c>
      <c r="C24" s="11" t="s">
        <v>165</v>
      </c>
      <c r="D24" s="11" t="s">
        <v>115</v>
      </c>
      <c r="E24" s="11" t="s">
        <v>178</v>
      </c>
      <c r="F24" s="11" t="s">
        <v>133</v>
      </c>
      <c r="G24" s="11" t="s">
        <v>179</v>
      </c>
      <c r="H24" s="11"/>
      <c r="I24" s="11" t="s">
        <v>180</v>
      </c>
      <c r="J24" s="8" t="s">
        <v>34</v>
      </c>
      <c r="K24" s="12" t="s">
        <v>44</v>
      </c>
      <c r="L24" s="8" t="s">
        <v>4</v>
      </c>
      <c r="M24" s="11"/>
      <c r="N24" s="13" t="s">
        <v>11</v>
      </c>
      <c r="O24" s="14"/>
      <c r="P24" s="14"/>
      <c r="Q24" s="14"/>
      <c r="R24" s="13"/>
    </row>
    <row r="25" customFormat="false" ht="23.85" hidden="false" customHeight="false" outlineLevel="0" collapsed="false">
      <c r="A25" s="8" t="s">
        <v>181</v>
      </c>
      <c r="B25" s="11" t="s">
        <v>17</v>
      </c>
      <c r="C25" s="11" t="s">
        <v>165</v>
      </c>
      <c r="D25" s="11" t="s">
        <v>115</v>
      </c>
      <c r="E25" s="11" t="s">
        <v>182</v>
      </c>
      <c r="F25" s="11" t="s">
        <v>133</v>
      </c>
      <c r="G25" s="11" t="s">
        <v>183</v>
      </c>
      <c r="H25" s="11"/>
      <c r="I25" s="11" t="s">
        <v>184</v>
      </c>
      <c r="J25" s="8" t="s">
        <v>41</v>
      </c>
      <c r="K25" s="12" t="s">
        <v>45</v>
      </c>
      <c r="L25" s="8" t="s">
        <v>4</v>
      </c>
      <c r="M25" s="11"/>
      <c r="N25" s="13" t="s">
        <v>11</v>
      </c>
      <c r="O25" s="14"/>
      <c r="P25" s="14"/>
      <c r="Q25" s="14"/>
      <c r="R25" s="13"/>
    </row>
    <row r="26" customFormat="false" ht="23.85" hidden="false" customHeight="false" outlineLevel="0" collapsed="false">
      <c r="A26" s="8" t="s">
        <v>185</v>
      </c>
      <c r="B26" s="11" t="s">
        <v>17</v>
      </c>
      <c r="C26" s="11" t="s">
        <v>186</v>
      </c>
      <c r="D26" s="11" t="s">
        <v>115</v>
      </c>
      <c r="E26" s="11" t="s">
        <v>187</v>
      </c>
      <c r="F26" s="11" t="s">
        <v>133</v>
      </c>
      <c r="G26" s="11" t="s">
        <v>188</v>
      </c>
      <c r="H26" s="11"/>
      <c r="I26" s="11" t="s">
        <v>189</v>
      </c>
      <c r="J26" s="8" t="s">
        <v>34</v>
      </c>
      <c r="K26" s="12" t="s">
        <v>44</v>
      </c>
      <c r="L26" s="8" t="s">
        <v>3</v>
      </c>
      <c r="M26" s="11" t="s">
        <v>120</v>
      </c>
      <c r="N26" s="13" t="s">
        <v>11</v>
      </c>
      <c r="O26" s="14"/>
      <c r="P26" s="14"/>
      <c r="Q26" s="14"/>
      <c r="R26" s="13"/>
    </row>
    <row r="27" customFormat="false" ht="23.85" hidden="false" customHeight="false" outlineLevel="0" collapsed="false">
      <c r="A27" s="8" t="s">
        <v>190</v>
      </c>
      <c r="B27" s="11" t="s">
        <v>17</v>
      </c>
      <c r="C27" s="11" t="s">
        <v>186</v>
      </c>
      <c r="D27" s="11" t="s">
        <v>115</v>
      </c>
      <c r="E27" s="11" t="s">
        <v>191</v>
      </c>
      <c r="F27" s="11" t="s">
        <v>133</v>
      </c>
      <c r="G27" s="11" t="s">
        <v>192</v>
      </c>
      <c r="H27" s="11"/>
      <c r="I27" s="11" t="s">
        <v>193</v>
      </c>
      <c r="J27" s="8" t="s">
        <v>34</v>
      </c>
      <c r="K27" s="12" t="s">
        <v>44</v>
      </c>
      <c r="L27" s="8" t="s">
        <v>3</v>
      </c>
      <c r="M27" s="11" t="s">
        <v>120</v>
      </c>
      <c r="N27" s="13" t="s">
        <v>11</v>
      </c>
      <c r="O27" s="14"/>
      <c r="P27" s="14"/>
      <c r="Q27" s="14"/>
      <c r="R27" s="13"/>
    </row>
    <row r="28" customFormat="false" ht="23.85" hidden="false" customHeight="false" outlineLevel="0" collapsed="false">
      <c r="A28" s="8" t="s">
        <v>194</v>
      </c>
      <c r="B28" s="11" t="s">
        <v>17</v>
      </c>
      <c r="C28" s="11" t="s">
        <v>195</v>
      </c>
      <c r="D28" s="11" t="s">
        <v>115</v>
      </c>
      <c r="E28" s="11" t="s">
        <v>196</v>
      </c>
      <c r="F28" s="11" t="s">
        <v>133</v>
      </c>
      <c r="G28" s="11" t="s">
        <v>197</v>
      </c>
      <c r="H28" s="11"/>
      <c r="I28" s="11" t="s">
        <v>198</v>
      </c>
      <c r="J28" s="8" t="s">
        <v>41</v>
      </c>
      <c r="K28" s="12" t="s">
        <v>45</v>
      </c>
      <c r="L28" s="8" t="s">
        <v>3</v>
      </c>
      <c r="M28" s="11" t="s">
        <v>120</v>
      </c>
      <c r="N28" s="13" t="s">
        <v>11</v>
      </c>
      <c r="O28" s="14"/>
      <c r="P28" s="14"/>
      <c r="Q28" s="14"/>
      <c r="R28" s="13"/>
    </row>
    <row r="29" customFormat="false" ht="15" hidden="false" customHeight="false" outlineLevel="0" collapsed="false">
      <c r="A29" s="8" t="s">
        <v>199</v>
      </c>
      <c r="B29" s="11" t="s">
        <v>17</v>
      </c>
      <c r="C29" s="11" t="s">
        <v>200</v>
      </c>
      <c r="D29" s="11" t="s">
        <v>115</v>
      </c>
      <c r="E29" s="11" t="s">
        <v>201</v>
      </c>
      <c r="F29" s="11" t="s">
        <v>117</v>
      </c>
      <c r="G29" s="11" t="s">
        <v>202</v>
      </c>
      <c r="H29" s="11"/>
      <c r="I29" s="11" t="s">
        <v>203</v>
      </c>
      <c r="J29" s="8" t="s">
        <v>41</v>
      </c>
      <c r="K29" s="12" t="s">
        <v>44</v>
      </c>
      <c r="L29" s="8" t="s">
        <v>4</v>
      </c>
      <c r="M29" s="11"/>
      <c r="N29" s="13" t="s">
        <v>11</v>
      </c>
      <c r="O29" s="14"/>
      <c r="P29" s="14"/>
      <c r="Q29" s="14"/>
      <c r="R29" s="13"/>
    </row>
    <row r="30" customFormat="false" ht="23.85" hidden="false" customHeight="false" outlineLevel="0" collapsed="false">
      <c r="A30" s="8" t="s">
        <v>204</v>
      </c>
      <c r="B30" s="11" t="s">
        <v>18</v>
      </c>
      <c r="C30" s="11" t="s">
        <v>205</v>
      </c>
      <c r="D30" s="11" t="s">
        <v>115</v>
      </c>
      <c r="E30" s="11" t="s">
        <v>206</v>
      </c>
      <c r="F30" s="11" t="s">
        <v>133</v>
      </c>
      <c r="G30" s="11" t="s">
        <v>207</v>
      </c>
      <c r="H30" s="11" t="s">
        <v>208</v>
      </c>
      <c r="I30" s="11" t="s">
        <v>209</v>
      </c>
      <c r="J30" s="8" t="s">
        <v>38</v>
      </c>
      <c r="K30" s="12" t="s">
        <v>43</v>
      </c>
      <c r="L30" s="8" t="s">
        <v>3</v>
      </c>
      <c r="M30" s="11" t="s">
        <v>210</v>
      </c>
      <c r="N30" s="13" t="s">
        <v>11</v>
      </c>
      <c r="O30" s="14"/>
      <c r="P30" s="14"/>
      <c r="Q30" s="14"/>
      <c r="R30" s="13"/>
    </row>
    <row r="31" customFormat="false" ht="23.85" hidden="false" customHeight="false" outlineLevel="0" collapsed="false">
      <c r="A31" s="8" t="s">
        <v>211</v>
      </c>
      <c r="B31" s="11" t="s">
        <v>18</v>
      </c>
      <c r="C31" s="11" t="s">
        <v>205</v>
      </c>
      <c r="D31" s="11" t="s">
        <v>115</v>
      </c>
      <c r="E31" s="11" t="s">
        <v>212</v>
      </c>
      <c r="F31" s="11" t="s">
        <v>133</v>
      </c>
      <c r="G31" s="11" t="s">
        <v>213</v>
      </c>
      <c r="H31" s="11" t="s">
        <v>214</v>
      </c>
      <c r="I31" s="11" t="s">
        <v>215</v>
      </c>
      <c r="J31" s="8" t="s">
        <v>38</v>
      </c>
      <c r="K31" s="12" t="s">
        <v>44</v>
      </c>
      <c r="L31" s="8" t="s">
        <v>4</v>
      </c>
      <c r="M31" s="11"/>
      <c r="N31" s="13" t="s">
        <v>11</v>
      </c>
      <c r="O31" s="14"/>
      <c r="P31" s="14"/>
      <c r="Q31" s="14"/>
      <c r="R31" s="13"/>
    </row>
    <row r="32" customFormat="false" ht="15" hidden="false" customHeight="false" outlineLevel="0" collapsed="false">
      <c r="A32" s="8" t="s">
        <v>216</v>
      </c>
      <c r="B32" s="11" t="s">
        <v>18</v>
      </c>
      <c r="C32" s="11" t="s">
        <v>217</v>
      </c>
      <c r="D32" s="11" t="s">
        <v>218</v>
      </c>
      <c r="E32" s="11" t="s">
        <v>219</v>
      </c>
      <c r="F32" s="11" t="s">
        <v>117</v>
      </c>
      <c r="G32" s="11" t="s">
        <v>220</v>
      </c>
      <c r="H32" s="11" t="s">
        <v>208</v>
      </c>
      <c r="I32" s="11" t="s">
        <v>221</v>
      </c>
      <c r="J32" s="8" t="s">
        <v>38</v>
      </c>
      <c r="K32" s="12" t="s">
        <v>44</v>
      </c>
      <c r="L32" s="8" t="s">
        <v>3</v>
      </c>
      <c r="M32" s="11" t="s">
        <v>210</v>
      </c>
      <c r="N32" s="13" t="s">
        <v>11</v>
      </c>
      <c r="O32" s="14"/>
      <c r="P32" s="14"/>
      <c r="Q32" s="14"/>
      <c r="R32" s="13"/>
    </row>
    <row r="33" customFormat="false" ht="23.85" hidden="false" customHeight="false" outlineLevel="0" collapsed="false">
      <c r="A33" s="8" t="s">
        <v>222</v>
      </c>
      <c r="B33" s="11" t="s">
        <v>18</v>
      </c>
      <c r="C33" s="11" t="s">
        <v>217</v>
      </c>
      <c r="D33" s="11" t="s">
        <v>218</v>
      </c>
      <c r="E33" s="11" t="s">
        <v>223</v>
      </c>
      <c r="F33" s="11" t="s">
        <v>117</v>
      </c>
      <c r="G33" s="11" t="s">
        <v>224</v>
      </c>
      <c r="H33" s="11" t="s">
        <v>208</v>
      </c>
      <c r="I33" s="11" t="s">
        <v>225</v>
      </c>
      <c r="J33" s="8" t="s">
        <v>38</v>
      </c>
      <c r="K33" s="12" t="s">
        <v>43</v>
      </c>
      <c r="L33" s="8" t="s">
        <v>3</v>
      </c>
      <c r="M33" s="11" t="s">
        <v>210</v>
      </c>
      <c r="N33" s="13" t="s">
        <v>11</v>
      </c>
      <c r="O33" s="14"/>
      <c r="P33" s="14"/>
      <c r="Q33" s="14"/>
      <c r="R33" s="13"/>
    </row>
    <row r="34" customFormat="false" ht="23.85" hidden="false" customHeight="false" outlineLevel="0" collapsed="false">
      <c r="A34" s="8" t="s">
        <v>226</v>
      </c>
      <c r="B34" s="11" t="s">
        <v>18</v>
      </c>
      <c r="C34" s="11" t="s">
        <v>217</v>
      </c>
      <c r="D34" s="11" t="s">
        <v>218</v>
      </c>
      <c r="E34" s="11" t="s">
        <v>227</v>
      </c>
      <c r="F34" s="11" t="s">
        <v>117</v>
      </c>
      <c r="G34" s="11" t="s">
        <v>228</v>
      </c>
      <c r="H34" s="11" t="s">
        <v>208</v>
      </c>
      <c r="I34" s="11" t="s">
        <v>229</v>
      </c>
      <c r="J34" s="8" t="s">
        <v>38</v>
      </c>
      <c r="K34" s="12" t="s">
        <v>44</v>
      </c>
      <c r="L34" s="8" t="s">
        <v>3</v>
      </c>
      <c r="M34" s="11" t="s">
        <v>210</v>
      </c>
      <c r="N34" s="13" t="s">
        <v>11</v>
      </c>
      <c r="O34" s="14"/>
      <c r="P34" s="14"/>
      <c r="Q34" s="14"/>
      <c r="R34" s="13"/>
    </row>
    <row r="35" customFormat="false" ht="23.85" hidden="false" customHeight="false" outlineLevel="0" collapsed="false">
      <c r="A35" s="8" t="s">
        <v>230</v>
      </c>
      <c r="B35" s="11" t="s">
        <v>18</v>
      </c>
      <c r="C35" s="11" t="s">
        <v>217</v>
      </c>
      <c r="D35" s="11" t="s">
        <v>218</v>
      </c>
      <c r="E35" s="11" t="s">
        <v>231</v>
      </c>
      <c r="F35" s="11" t="s">
        <v>117</v>
      </c>
      <c r="G35" s="11" t="s">
        <v>232</v>
      </c>
      <c r="H35" s="11" t="s">
        <v>208</v>
      </c>
      <c r="I35" s="11" t="s">
        <v>233</v>
      </c>
      <c r="J35" s="8" t="s">
        <v>38</v>
      </c>
      <c r="K35" s="12" t="s">
        <v>45</v>
      </c>
      <c r="L35" s="8" t="s">
        <v>4</v>
      </c>
      <c r="M35" s="11"/>
      <c r="N35" s="13" t="s">
        <v>11</v>
      </c>
      <c r="O35" s="14"/>
      <c r="P35" s="14"/>
      <c r="Q35" s="14"/>
      <c r="R35" s="13"/>
    </row>
    <row r="36" customFormat="false" ht="35.05" hidden="false" customHeight="false" outlineLevel="0" collapsed="false">
      <c r="A36" s="8" t="s">
        <v>234</v>
      </c>
      <c r="B36" s="11" t="s">
        <v>18</v>
      </c>
      <c r="C36" s="11" t="s">
        <v>217</v>
      </c>
      <c r="D36" s="11" t="s">
        <v>218</v>
      </c>
      <c r="E36" s="11" t="s">
        <v>235</v>
      </c>
      <c r="F36" s="11" t="s">
        <v>117</v>
      </c>
      <c r="G36" s="11" t="s">
        <v>236</v>
      </c>
      <c r="H36" s="11" t="s">
        <v>208</v>
      </c>
      <c r="I36" s="11" t="s">
        <v>237</v>
      </c>
      <c r="J36" s="8" t="s">
        <v>38</v>
      </c>
      <c r="K36" s="12" t="s">
        <v>44</v>
      </c>
      <c r="L36" s="8" t="s">
        <v>4</v>
      </c>
      <c r="M36" s="11"/>
      <c r="N36" s="13" t="s">
        <v>11</v>
      </c>
      <c r="O36" s="14"/>
      <c r="P36" s="14"/>
      <c r="Q36" s="14"/>
      <c r="R36" s="13"/>
    </row>
    <row r="37" customFormat="false" ht="23.85" hidden="false" customHeight="false" outlineLevel="0" collapsed="false">
      <c r="A37" s="8" t="s">
        <v>238</v>
      </c>
      <c r="B37" s="11" t="s">
        <v>18</v>
      </c>
      <c r="C37" s="11" t="s">
        <v>217</v>
      </c>
      <c r="D37" s="11" t="s">
        <v>218</v>
      </c>
      <c r="E37" s="11" t="s">
        <v>239</v>
      </c>
      <c r="F37" s="11" t="s">
        <v>117</v>
      </c>
      <c r="G37" s="11" t="s">
        <v>240</v>
      </c>
      <c r="H37" s="11" t="s">
        <v>241</v>
      </c>
      <c r="I37" s="11" t="s">
        <v>242</v>
      </c>
      <c r="J37" s="8" t="s">
        <v>38</v>
      </c>
      <c r="K37" s="12" t="s">
        <v>44</v>
      </c>
      <c r="L37" s="8" t="s">
        <v>4</v>
      </c>
      <c r="M37" s="11"/>
      <c r="N37" s="13" t="s">
        <v>11</v>
      </c>
      <c r="O37" s="14"/>
      <c r="P37" s="14"/>
      <c r="Q37" s="14"/>
      <c r="R37" s="13"/>
    </row>
    <row r="38" customFormat="false" ht="23.85" hidden="false" customHeight="false" outlineLevel="0" collapsed="false">
      <c r="A38" s="8" t="s">
        <v>243</v>
      </c>
      <c r="B38" s="11" t="s">
        <v>18</v>
      </c>
      <c r="C38" s="11" t="s">
        <v>217</v>
      </c>
      <c r="D38" s="11" t="s">
        <v>218</v>
      </c>
      <c r="E38" s="11" t="s">
        <v>244</v>
      </c>
      <c r="F38" s="11" t="s">
        <v>117</v>
      </c>
      <c r="G38" s="11" t="s">
        <v>245</v>
      </c>
      <c r="H38" s="11"/>
      <c r="I38" s="11" t="s">
        <v>246</v>
      </c>
      <c r="J38" s="8" t="s">
        <v>38</v>
      </c>
      <c r="K38" s="12" t="s">
        <v>44</v>
      </c>
      <c r="L38" s="8" t="s">
        <v>3</v>
      </c>
      <c r="M38" s="11" t="s">
        <v>210</v>
      </c>
      <c r="N38" s="13" t="s">
        <v>11</v>
      </c>
      <c r="O38" s="14"/>
      <c r="P38" s="14"/>
      <c r="Q38" s="14"/>
      <c r="R38" s="13"/>
    </row>
    <row r="39" customFormat="false" ht="15" hidden="false" customHeight="false" outlineLevel="0" collapsed="false">
      <c r="A39" s="8" t="s">
        <v>247</v>
      </c>
      <c r="B39" s="11" t="s">
        <v>18</v>
      </c>
      <c r="C39" s="11" t="s">
        <v>217</v>
      </c>
      <c r="D39" s="11" t="s">
        <v>218</v>
      </c>
      <c r="E39" s="11" t="s">
        <v>248</v>
      </c>
      <c r="F39" s="11" t="s">
        <v>117</v>
      </c>
      <c r="G39" s="11" t="s">
        <v>249</v>
      </c>
      <c r="H39" s="11" t="s">
        <v>250</v>
      </c>
      <c r="I39" s="11" t="s">
        <v>251</v>
      </c>
      <c r="J39" s="8" t="s">
        <v>41</v>
      </c>
      <c r="K39" s="12" t="s">
        <v>45</v>
      </c>
      <c r="L39" s="8" t="s">
        <v>4</v>
      </c>
      <c r="M39" s="11"/>
      <c r="N39" s="13" t="s">
        <v>11</v>
      </c>
      <c r="O39" s="14"/>
      <c r="P39" s="14"/>
      <c r="Q39" s="14"/>
      <c r="R39" s="13"/>
    </row>
    <row r="40" customFormat="false" ht="15" hidden="false" customHeight="false" outlineLevel="0" collapsed="false">
      <c r="A40" s="8" t="s">
        <v>252</v>
      </c>
      <c r="B40" s="11" t="s">
        <v>18</v>
      </c>
      <c r="C40" s="11" t="s">
        <v>37</v>
      </c>
      <c r="D40" s="11" t="s">
        <v>218</v>
      </c>
      <c r="E40" s="11" t="s">
        <v>253</v>
      </c>
      <c r="F40" s="11" t="s">
        <v>117</v>
      </c>
      <c r="G40" s="11" t="s">
        <v>254</v>
      </c>
      <c r="H40" s="11" t="s">
        <v>255</v>
      </c>
      <c r="I40" s="11" t="s">
        <v>256</v>
      </c>
      <c r="J40" s="8" t="s">
        <v>37</v>
      </c>
      <c r="K40" s="12" t="s">
        <v>43</v>
      </c>
      <c r="L40" s="8" t="s">
        <v>3</v>
      </c>
      <c r="M40" s="11" t="s">
        <v>210</v>
      </c>
      <c r="N40" s="13" t="s">
        <v>11</v>
      </c>
      <c r="O40" s="14"/>
      <c r="P40" s="14"/>
      <c r="Q40" s="14"/>
      <c r="R40" s="13"/>
    </row>
    <row r="41" customFormat="false" ht="23.85" hidden="false" customHeight="false" outlineLevel="0" collapsed="false">
      <c r="A41" s="8" t="s">
        <v>257</v>
      </c>
      <c r="B41" s="11" t="s">
        <v>18</v>
      </c>
      <c r="C41" s="11" t="s">
        <v>37</v>
      </c>
      <c r="D41" s="11" t="s">
        <v>218</v>
      </c>
      <c r="E41" s="11" t="s">
        <v>258</v>
      </c>
      <c r="F41" s="11" t="s">
        <v>133</v>
      </c>
      <c r="G41" s="11" t="s">
        <v>259</v>
      </c>
      <c r="H41" s="11" t="s">
        <v>260</v>
      </c>
      <c r="I41" s="11" t="s">
        <v>261</v>
      </c>
      <c r="J41" s="8" t="s">
        <v>37</v>
      </c>
      <c r="K41" s="12" t="s">
        <v>44</v>
      </c>
      <c r="L41" s="8" t="s">
        <v>3</v>
      </c>
      <c r="M41" s="11" t="s">
        <v>210</v>
      </c>
      <c r="N41" s="13" t="s">
        <v>11</v>
      </c>
      <c r="O41" s="14"/>
      <c r="P41" s="14"/>
      <c r="Q41" s="14"/>
      <c r="R41" s="13"/>
    </row>
    <row r="42" customFormat="false" ht="23.85" hidden="false" customHeight="false" outlineLevel="0" collapsed="false">
      <c r="A42" s="8" t="s">
        <v>262</v>
      </c>
      <c r="B42" s="11" t="s">
        <v>18</v>
      </c>
      <c r="C42" s="11" t="s">
        <v>37</v>
      </c>
      <c r="D42" s="11" t="s">
        <v>218</v>
      </c>
      <c r="E42" s="11" t="s">
        <v>263</v>
      </c>
      <c r="F42" s="11" t="s">
        <v>133</v>
      </c>
      <c r="G42" s="11" t="s">
        <v>264</v>
      </c>
      <c r="H42" s="11" t="s">
        <v>265</v>
      </c>
      <c r="I42" s="11" t="s">
        <v>266</v>
      </c>
      <c r="J42" s="8" t="s">
        <v>37</v>
      </c>
      <c r="K42" s="12" t="s">
        <v>45</v>
      </c>
      <c r="L42" s="8" t="s">
        <v>3</v>
      </c>
      <c r="M42" s="11" t="s">
        <v>163</v>
      </c>
      <c r="N42" s="13" t="s">
        <v>11</v>
      </c>
      <c r="O42" s="14"/>
      <c r="P42" s="14"/>
      <c r="Q42" s="14"/>
      <c r="R42" s="13"/>
    </row>
    <row r="43" customFormat="false" ht="23.85" hidden="false" customHeight="false" outlineLevel="0" collapsed="false">
      <c r="A43" s="8" t="s">
        <v>267</v>
      </c>
      <c r="B43" s="11" t="s">
        <v>18</v>
      </c>
      <c r="C43" s="11" t="s">
        <v>37</v>
      </c>
      <c r="D43" s="11" t="s">
        <v>218</v>
      </c>
      <c r="E43" s="11" t="s">
        <v>268</v>
      </c>
      <c r="F43" s="11" t="s">
        <v>133</v>
      </c>
      <c r="G43" s="11" t="s">
        <v>269</v>
      </c>
      <c r="H43" s="11" t="s">
        <v>270</v>
      </c>
      <c r="I43" s="11" t="s">
        <v>271</v>
      </c>
      <c r="J43" s="8" t="s">
        <v>37</v>
      </c>
      <c r="K43" s="12" t="s">
        <v>44</v>
      </c>
      <c r="L43" s="8" t="s">
        <v>3</v>
      </c>
      <c r="M43" s="11" t="s">
        <v>210</v>
      </c>
      <c r="N43" s="13" t="s">
        <v>11</v>
      </c>
      <c r="O43" s="14"/>
      <c r="P43" s="14"/>
      <c r="Q43" s="14"/>
      <c r="R43" s="13"/>
    </row>
    <row r="44" customFormat="false" ht="23.85" hidden="false" customHeight="false" outlineLevel="0" collapsed="false">
      <c r="A44" s="8" t="s">
        <v>272</v>
      </c>
      <c r="B44" s="11" t="s">
        <v>18</v>
      </c>
      <c r="C44" s="11" t="s">
        <v>37</v>
      </c>
      <c r="D44" s="11" t="s">
        <v>218</v>
      </c>
      <c r="E44" s="11" t="s">
        <v>273</v>
      </c>
      <c r="F44" s="11" t="s">
        <v>133</v>
      </c>
      <c r="G44" s="11" t="s">
        <v>274</v>
      </c>
      <c r="H44" s="11" t="s">
        <v>275</v>
      </c>
      <c r="I44" s="11" t="s">
        <v>276</v>
      </c>
      <c r="J44" s="8" t="s">
        <v>37</v>
      </c>
      <c r="K44" s="12" t="s">
        <v>44</v>
      </c>
      <c r="L44" s="8" t="s">
        <v>3</v>
      </c>
      <c r="M44" s="11" t="s">
        <v>210</v>
      </c>
      <c r="N44" s="13" t="s">
        <v>11</v>
      </c>
      <c r="O44" s="14"/>
      <c r="P44" s="14"/>
      <c r="Q44" s="14"/>
      <c r="R44" s="13"/>
    </row>
    <row r="45" customFormat="false" ht="23.85" hidden="false" customHeight="false" outlineLevel="0" collapsed="false">
      <c r="A45" s="8" t="s">
        <v>277</v>
      </c>
      <c r="B45" s="11" t="s">
        <v>18</v>
      </c>
      <c r="C45" s="11" t="s">
        <v>37</v>
      </c>
      <c r="D45" s="11" t="s">
        <v>218</v>
      </c>
      <c r="E45" s="11" t="s">
        <v>278</v>
      </c>
      <c r="F45" s="11" t="s">
        <v>133</v>
      </c>
      <c r="G45" s="11" t="s">
        <v>279</v>
      </c>
      <c r="H45" s="11" t="s">
        <v>280</v>
      </c>
      <c r="I45" s="11" t="s">
        <v>281</v>
      </c>
      <c r="J45" s="8" t="s">
        <v>37</v>
      </c>
      <c r="K45" s="12" t="s">
        <v>44</v>
      </c>
      <c r="L45" s="8" t="s">
        <v>3</v>
      </c>
      <c r="M45" s="11" t="s">
        <v>163</v>
      </c>
      <c r="N45" s="13" t="s">
        <v>11</v>
      </c>
      <c r="O45" s="14"/>
      <c r="P45" s="14"/>
      <c r="Q45" s="14"/>
      <c r="R45" s="13"/>
    </row>
    <row r="46" customFormat="false" ht="23.85" hidden="false" customHeight="false" outlineLevel="0" collapsed="false">
      <c r="A46" s="8" t="s">
        <v>282</v>
      </c>
      <c r="B46" s="11" t="s">
        <v>18</v>
      </c>
      <c r="C46" s="11" t="s">
        <v>37</v>
      </c>
      <c r="D46" s="11" t="s">
        <v>218</v>
      </c>
      <c r="E46" s="11" t="s">
        <v>283</v>
      </c>
      <c r="F46" s="11" t="s">
        <v>133</v>
      </c>
      <c r="G46" s="11" t="s">
        <v>284</v>
      </c>
      <c r="H46" s="11"/>
      <c r="I46" s="11" t="s">
        <v>285</v>
      </c>
      <c r="J46" s="8" t="s">
        <v>37</v>
      </c>
      <c r="K46" s="12" t="s">
        <v>45</v>
      </c>
      <c r="L46" s="8" t="s">
        <v>4</v>
      </c>
      <c r="M46" s="11"/>
      <c r="N46" s="13" t="s">
        <v>11</v>
      </c>
      <c r="O46" s="14"/>
      <c r="P46" s="14"/>
      <c r="Q46" s="14"/>
      <c r="R46" s="13"/>
    </row>
    <row r="47" customFormat="false" ht="23.85" hidden="false" customHeight="false" outlineLevel="0" collapsed="false">
      <c r="A47" s="8" t="s">
        <v>286</v>
      </c>
      <c r="B47" s="11" t="s">
        <v>18</v>
      </c>
      <c r="C47" s="11" t="s">
        <v>37</v>
      </c>
      <c r="D47" s="11" t="s">
        <v>218</v>
      </c>
      <c r="E47" s="11" t="s">
        <v>287</v>
      </c>
      <c r="F47" s="11" t="s">
        <v>133</v>
      </c>
      <c r="G47" s="11" t="s">
        <v>288</v>
      </c>
      <c r="H47" s="11"/>
      <c r="I47" s="11" t="s">
        <v>289</v>
      </c>
      <c r="J47" s="8" t="s">
        <v>37</v>
      </c>
      <c r="K47" s="12" t="s">
        <v>45</v>
      </c>
      <c r="L47" s="8" t="s">
        <v>4</v>
      </c>
      <c r="M47" s="11"/>
      <c r="N47" s="13" t="s">
        <v>11</v>
      </c>
      <c r="O47" s="14"/>
      <c r="P47" s="14"/>
      <c r="Q47" s="14"/>
      <c r="R47" s="13"/>
    </row>
    <row r="48" customFormat="false" ht="15" hidden="false" customHeight="false" outlineLevel="0" collapsed="false">
      <c r="A48" s="8" t="s">
        <v>290</v>
      </c>
      <c r="B48" s="11" t="s">
        <v>18</v>
      </c>
      <c r="C48" s="11" t="s">
        <v>37</v>
      </c>
      <c r="D48" s="11" t="s">
        <v>218</v>
      </c>
      <c r="E48" s="11" t="s">
        <v>291</v>
      </c>
      <c r="F48" s="11" t="s">
        <v>117</v>
      </c>
      <c r="G48" s="11" t="s">
        <v>292</v>
      </c>
      <c r="H48" s="11"/>
      <c r="I48" s="11" t="s">
        <v>293</v>
      </c>
      <c r="J48" s="8" t="s">
        <v>37</v>
      </c>
      <c r="K48" s="12" t="s">
        <v>44</v>
      </c>
      <c r="L48" s="8" t="s">
        <v>4</v>
      </c>
      <c r="M48" s="11"/>
      <c r="N48" s="13" t="s">
        <v>11</v>
      </c>
      <c r="O48" s="14"/>
      <c r="P48" s="14"/>
      <c r="Q48" s="14"/>
      <c r="R48" s="13"/>
    </row>
    <row r="49" customFormat="false" ht="35.05" hidden="false" customHeight="false" outlineLevel="0" collapsed="false">
      <c r="A49" s="8" t="s">
        <v>294</v>
      </c>
      <c r="B49" s="11" t="s">
        <v>18</v>
      </c>
      <c r="C49" s="11" t="s">
        <v>37</v>
      </c>
      <c r="D49" s="11" t="s">
        <v>218</v>
      </c>
      <c r="E49" s="11" t="s">
        <v>295</v>
      </c>
      <c r="F49" s="11" t="s">
        <v>133</v>
      </c>
      <c r="G49" s="11" t="s">
        <v>296</v>
      </c>
      <c r="H49" s="11"/>
      <c r="I49" s="11" t="s">
        <v>297</v>
      </c>
      <c r="J49" s="8" t="s">
        <v>37</v>
      </c>
      <c r="K49" s="12" t="s">
        <v>44</v>
      </c>
      <c r="L49" s="8" t="s">
        <v>4</v>
      </c>
      <c r="M49" s="11"/>
      <c r="N49" s="13" t="s">
        <v>11</v>
      </c>
      <c r="O49" s="14"/>
      <c r="P49" s="14"/>
      <c r="Q49" s="14"/>
      <c r="R49" s="13"/>
    </row>
    <row r="50" customFormat="false" ht="23.85" hidden="false" customHeight="false" outlineLevel="0" collapsed="false">
      <c r="A50" s="8" t="s">
        <v>298</v>
      </c>
      <c r="B50" s="11" t="s">
        <v>18</v>
      </c>
      <c r="C50" s="11" t="s">
        <v>40</v>
      </c>
      <c r="D50" s="11" t="s">
        <v>218</v>
      </c>
      <c r="E50" s="11" t="s">
        <v>299</v>
      </c>
      <c r="F50" s="11" t="s">
        <v>133</v>
      </c>
      <c r="G50" s="11" t="s">
        <v>300</v>
      </c>
      <c r="H50" s="11" t="s">
        <v>301</v>
      </c>
      <c r="I50" s="11" t="s">
        <v>302</v>
      </c>
      <c r="J50" s="8" t="s">
        <v>40</v>
      </c>
      <c r="K50" s="12" t="s">
        <v>43</v>
      </c>
      <c r="L50" s="8" t="s">
        <v>3</v>
      </c>
      <c r="M50" s="11" t="s">
        <v>210</v>
      </c>
      <c r="N50" s="13" t="s">
        <v>11</v>
      </c>
      <c r="O50" s="14"/>
      <c r="P50" s="14"/>
      <c r="Q50" s="14"/>
      <c r="R50" s="13"/>
    </row>
    <row r="51" customFormat="false" ht="15" hidden="false" customHeight="false" outlineLevel="0" collapsed="false">
      <c r="A51" s="8" t="s">
        <v>303</v>
      </c>
      <c r="B51" s="11" t="s">
        <v>18</v>
      </c>
      <c r="C51" s="11" t="s">
        <v>40</v>
      </c>
      <c r="D51" s="11" t="s">
        <v>218</v>
      </c>
      <c r="E51" s="11" t="s">
        <v>304</v>
      </c>
      <c r="F51" s="11" t="s">
        <v>117</v>
      </c>
      <c r="G51" s="11" t="s">
        <v>305</v>
      </c>
      <c r="H51" s="11"/>
      <c r="I51" s="11" t="s">
        <v>306</v>
      </c>
      <c r="J51" s="8" t="s">
        <v>40</v>
      </c>
      <c r="K51" s="12" t="s">
        <v>43</v>
      </c>
      <c r="L51" s="8" t="s">
        <v>4</v>
      </c>
      <c r="M51" s="11"/>
      <c r="N51" s="13" t="s">
        <v>11</v>
      </c>
      <c r="O51" s="14"/>
      <c r="P51" s="14"/>
      <c r="Q51" s="14"/>
      <c r="R51" s="13"/>
    </row>
    <row r="52" customFormat="false" ht="23.85" hidden="false" customHeight="false" outlineLevel="0" collapsed="false">
      <c r="A52" s="8" t="s">
        <v>307</v>
      </c>
      <c r="B52" s="11" t="s">
        <v>18</v>
      </c>
      <c r="C52" s="11" t="s">
        <v>40</v>
      </c>
      <c r="D52" s="11" t="s">
        <v>218</v>
      </c>
      <c r="E52" s="11" t="s">
        <v>308</v>
      </c>
      <c r="F52" s="11" t="s">
        <v>133</v>
      </c>
      <c r="G52" s="11" t="s">
        <v>309</v>
      </c>
      <c r="H52" s="11" t="s">
        <v>310</v>
      </c>
      <c r="I52" s="11" t="s">
        <v>311</v>
      </c>
      <c r="J52" s="8" t="s">
        <v>40</v>
      </c>
      <c r="K52" s="12" t="s">
        <v>43</v>
      </c>
      <c r="L52" s="8" t="s">
        <v>3</v>
      </c>
      <c r="M52" s="11" t="s">
        <v>163</v>
      </c>
      <c r="N52" s="13" t="s">
        <v>11</v>
      </c>
      <c r="O52" s="14"/>
      <c r="P52" s="14"/>
      <c r="Q52" s="14"/>
      <c r="R52" s="13"/>
    </row>
    <row r="53" customFormat="false" ht="23.85" hidden="false" customHeight="false" outlineLevel="0" collapsed="false">
      <c r="A53" s="8" t="s">
        <v>312</v>
      </c>
      <c r="B53" s="11" t="s">
        <v>18</v>
      </c>
      <c r="C53" s="11" t="s">
        <v>313</v>
      </c>
      <c r="D53" s="11" t="s">
        <v>218</v>
      </c>
      <c r="E53" s="11" t="s">
        <v>314</v>
      </c>
      <c r="F53" s="11" t="s">
        <v>315</v>
      </c>
      <c r="G53" s="11" t="s">
        <v>316</v>
      </c>
      <c r="H53" s="11" t="s">
        <v>208</v>
      </c>
      <c r="I53" s="11" t="s">
        <v>317</v>
      </c>
      <c r="J53" s="8" t="s">
        <v>38</v>
      </c>
      <c r="K53" s="12" t="s">
        <v>44</v>
      </c>
      <c r="L53" s="8" t="s">
        <v>3</v>
      </c>
      <c r="M53" s="11" t="s">
        <v>210</v>
      </c>
      <c r="N53" s="13" t="s">
        <v>11</v>
      </c>
      <c r="O53" s="14"/>
      <c r="P53" s="14"/>
      <c r="Q53" s="14"/>
      <c r="R53" s="13"/>
    </row>
    <row r="54" customFormat="false" ht="35.05" hidden="false" customHeight="false" outlineLevel="0" collapsed="false">
      <c r="A54" s="8" t="s">
        <v>318</v>
      </c>
      <c r="B54" s="11" t="s">
        <v>19</v>
      </c>
      <c r="C54" s="11" t="s">
        <v>319</v>
      </c>
      <c r="D54" s="11" t="s">
        <v>115</v>
      </c>
      <c r="E54" s="11" t="s">
        <v>320</v>
      </c>
      <c r="F54" s="11" t="s">
        <v>133</v>
      </c>
      <c r="G54" s="11" t="s">
        <v>321</v>
      </c>
      <c r="H54" s="11"/>
      <c r="I54" s="11" t="s">
        <v>322</v>
      </c>
      <c r="J54" s="8" t="s">
        <v>38</v>
      </c>
      <c r="K54" s="12" t="s">
        <v>43</v>
      </c>
      <c r="L54" s="8" t="s">
        <v>3</v>
      </c>
      <c r="M54" s="11" t="s">
        <v>323</v>
      </c>
      <c r="N54" s="13" t="s">
        <v>11</v>
      </c>
      <c r="O54" s="14"/>
      <c r="P54" s="14"/>
      <c r="Q54" s="14"/>
      <c r="R54" s="13"/>
    </row>
    <row r="55" customFormat="false" ht="23.85" hidden="false" customHeight="false" outlineLevel="0" collapsed="false">
      <c r="A55" s="8" t="s">
        <v>324</v>
      </c>
      <c r="B55" s="11" t="s">
        <v>19</v>
      </c>
      <c r="C55" s="11" t="s">
        <v>319</v>
      </c>
      <c r="D55" s="11" t="s">
        <v>115</v>
      </c>
      <c r="E55" s="11" t="s">
        <v>325</v>
      </c>
      <c r="F55" s="11" t="s">
        <v>133</v>
      </c>
      <c r="G55" s="11" t="s">
        <v>326</v>
      </c>
      <c r="H55" s="11"/>
      <c r="I55" s="11" t="s">
        <v>327</v>
      </c>
      <c r="J55" s="8" t="s">
        <v>34</v>
      </c>
      <c r="K55" s="12" t="s">
        <v>44</v>
      </c>
      <c r="L55" s="8" t="s">
        <v>3</v>
      </c>
      <c r="M55" s="11" t="s">
        <v>323</v>
      </c>
      <c r="N55" s="13" t="s">
        <v>11</v>
      </c>
      <c r="O55" s="14"/>
      <c r="P55" s="14"/>
      <c r="Q55" s="14"/>
      <c r="R55" s="13"/>
    </row>
    <row r="56" customFormat="false" ht="35.05" hidden="false" customHeight="false" outlineLevel="0" collapsed="false">
      <c r="A56" s="8" t="s">
        <v>328</v>
      </c>
      <c r="B56" s="11" t="s">
        <v>19</v>
      </c>
      <c r="C56" s="11" t="s">
        <v>329</v>
      </c>
      <c r="D56" s="11" t="s">
        <v>115</v>
      </c>
      <c r="E56" s="11" t="s">
        <v>330</v>
      </c>
      <c r="F56" s="11" t="s">
        <v>133</v>
      </c>
      <c r="G56" s="11" t="s">
        <v>331</v>
      </c>
      <c r="H56" s="11"/>
      <c r="I56" s="11" t="s">
        <v>332</v>
      </c>
      <c r="J56" s="8" t="s">
        <v>38</v>
      </c>
      <c r="K56" s="12" t="s">
        <v>44</v>
      </c>
      <c r="L56" s="8" t="s">
        <v>3</v>
      </c>
      <c r="M56" s="11" t="s">
        <v>323</v>
      </c>
      <c r="N56" s="13" t="s">
        <v>11</v>
      </c>
      <c r="O56" s="14"/>
      <c r="P56" s="14"/>
      <c r="Q56" s="14"/>
      <c r="R56" s="13"/>
    </row>
    <row r="57" customFormat="false" ht="35.05" hidden="false" customHeight="false" outlineLevel="0" collapsed="false">
      <c r="A57" s="8" t="s">
        <v>333</v>
      </c>
      <c r="B57" s="11" t="s">
        <v>19</v>
      </c>
      <c r="C57" s="11" t="s">
        <v>334</v>
      </c>
      <c r="D57" s="11" t="s">
        <v>115</v>
      </c>
      <c r="E57" s="11" t="s">
        <v>335</v>
      </c>
      <c r="F57" s="11" t="s">
        <v>133</v>
      </c>
      <c r="G57" s="11" t="s">
        <v>336</v>
      </c>
      <c r="H57" s="11"/>
      <c r="I57" s="11" t="s">
        <v>337</v>
      </c>
      <c r="J57" s="8" t="s">
        <v>38</v>
      </c>
      <c r="K57" s="12" t="s">
        <v>44</v>
      </c>
      <c r="L57" s="8" t="s">
        <v>3</v>
      </c>
      <c r="M57" s="11" t="s">
        <v>323</v>
      </c>
      <c r="N57" s="13" t="s">
        <v>11</v>
      </c>
      <c r="O57" s="14"/>
      <c r="P57" s="14"/>
      <c r="Q57" s="14"/>
      <c r="R57" s="13"/>
    </row>
    <row r="58" customFormat="false" ht="35.05" hidden="false" customHeight="false" outlineLevel="0" collapsed="false">
      <c r="A58" s="8" t="s">
        <v>338</v>
      </c>
      <c r="B58" s="11" t="s">
        <v>19</v>
      </c>
      <c r="C58" s="11" t="s">
        <v>339</v>
      </c>
      <c r="D58" s="11" t="s">
        <v>115</v>
      </c>
      <c r="E58" s="11" t="s">
        <v>340</v>
      </c>
      <c r="F58" s="11" t="s">
        <v>133</v>
      </c>
      <c r="G58" s="11" t="s">
        <v>341</v>
      </c>
      <c r="H58" s="11"/>
      <c r="I58" s="11" t="s">
        <v>342</v>
      </c>
      <c r="J58" s="8" t="s">
        <v>38</v>
      </c>
      <c r="K58" s="12" t="s">
        <v>44</v>
      </c>
      <c r="L58" s="8" t="s">
        <v>3</v>
      </c>
      <c r="M58" s="11" t="s">
        <v>323</v>
      </c>
      <c r="N58" s="13" t="s">
        <v>11</v>
      </c>
      <c r="O58" s="14"/>
      <c r="P58" s="14"/>
      <c r="Q58" s="14"/>
      <c r="R58" s="13"/>
    </row>
    <row r="59" customFormat="false" ht="35.05" hidden="false" customHeight="false" outlineLevel="0" collapsed="false">
      <c r="A59" s="8" t="s">
        <v>343</v>
      </c>
      <c r="B59" s="11" t="s">
        <v>19</v>
      </c>
      <c r="C59" s="11" t="s">
        <v>344</v>
      </c>
      <c r="D59" s="11" t="s">
        <v>115</v>
      </c>
      <c r="E59" s="11" t="s">
        <v>345</v>
      </c>
      <c r="F59" s="11" t="s">
        <v>133</v>
      </c>
      <c r="G59" s="11" t="s">
        <v>346</v>
      </c>
      <c r="H59" s="11"/>
      <c r="I59" s="11" t="s">
        <v>347</v>
      </c>
      <c r="J59" s="8" t="s">
        <v>38</v>
      </c>
      <c r="K59" s="12" t="s">
        <v>44</v>
      </c>
      <c r="L59" s="8" t="s">
        <v>3</v>
      </c>
      <c r="M59" s="11" t="s">
        <v>323</v>
      </c>
      <c r="N59" s="13" t="s">
        <v>11</v>
      </c>
      <c r="O59" s="14"/>
      <c r="P59" s="14"/>
      <c r="Q59" s="14"/>
      <c r="R59" s="13"/>
    </row>
    <row r="60" customFormat="false" ht="35.05" hidden="false" customHeight="false" outlineLevel="0" collapsed="false">
      <c r="A60" s="8" t="s">
        <v>348</v>
      </c>
      <c r="B60" s="11" t="s">
        <v>19</v>
      </c>
      <c r="C60" s="11" t="s">
        <v>349</v>
      </c>
      <c r="D60" s="11" t="s">
        <v>115</v>
      </c>
      <c r="E60" s="11" t="s">
        <v>350</v>
      </c>
      <c r="F60" s="11" t="s">
        <v>133</v>
      </c>
      <c r="G60" s="11" t="s">
        <v>351</v>
      </c>
      <c r="H60" s="11"/>
      <c r="I60" s="11" t="s">
        <v>352</v>
      </c>
      <c r="J60" s="8" t="s">
        <v>38</v>
      </c>
      <c r="K60" s="12" t="s">
        <v>44</v>
      </c>
      <c r="L60" s="8" t="s">
        <v>3</v>
      </c>
      <c r="M60" s="11" t="s">
        <v>323</v>
      </c>
      <c r="N60" s="13" t="s">
        <v>11</v>
      </c>
      <c r="O60" s="14"/>
      <c r="P60" s="14"/>
      <c r="Q60" s="14"/>
      <c r="R60" s="13"/>
    </row>
    <row r="61" customFormat="false" ht="35.05" hidden="false" customHeight="false" outlineLevel="0" collapsed="false">
      <c r="A61" s="8" t="s">
        <v>353</v>
      </c>
      <c r="B61" s="11" t="s">
        <v>19</v>
      </c>
      <c r="C61" s="11" t="s">
        <v>354</v>
      </c>
      <c r="D61" s="11" t="s">
        <v>115</v>
      </c>
      <c r="E61" s="11" t="s">
        <v>355</v>
      </c>
      <c r="F61" s="11" t="s">
        <v>133</v>
      </c>
      <c r="G61" s="11" t="s">
        <v>356</v>
      </c>
      <c r="H61" s="11"/>
      <c r="I61" s="11" t="s">
        <v>357</v>
      </c>
      <c r="J61" s="8" t="s">
        <v>38</v>
      </c>
      <c r="K61" s="12" t="s">
        <v>44</v>
      </c>
      <c r="L61" s="8" t="s">
        <v>3</v>
      </c>
      <c r="M61" s="11" t="s">
        <v>323</v>
      </c>
      <c r="N61" s="13" t="s">
        <v>11</v>
      </c>
      <c r="O61" s="14"/>
      <c r="P61" s="14"/>
      <c r="Q61" s="14"/>
      <c r="R61" s="13"/>
    </row>
    <row r="62" customFormat="false" ht="35.05" hidden="false" customHeight="false" outlineLevel="0" collapsed="false">
      <c r="A62" s="8" t="s">
        <v>358</v>
      </c>
      <c r="B62" s="11" t="s">
        <v>19</v>
      </c>
      <c r="C62" s="11" t="s">
        <v>359</v>
      </c>
      <c r="D62" s="11" t="s">
        <v>115</v>
      </c>
      <c r="E62" s="11" t="s">
        <v>360</v>
      </c>
      <c r="F62" s="11" t="s">
        <v>133</v>
      </c>
      <c r="G62" s="11" t="s">
        <v>361</v>
      </c>
      <c r="H62" s="11"/>
      <c r="I62" s="11" t="s">
        <v>362</v>
      </c>
      <c r="J62" s="8" t="s">
        <v>38</v>
      </c>
      <c r="K62" s="12" t="s">
        <v>44</v>
      </c>
      <c r="L62" s="8" t="s">
        <v>3</v>
      </c>
      <c r="M62" s="11" t="s">
        <v>323</v>
      </c>
      <c r="N62" s="13" t="s">
        <v>11</v>
      </c>
      <c r="O62" s="14"/>
      <c r="P62" s="14"/>
      <c r="Q62" s="14"/>
      <c r="R62" s="13"/>
    </row>
    <row r="63" customFormat="false" ht="35.05" hidden="false" customHeight="false" outlineLevel="0" collapsed="false">
      <c r="A63" s="8" t="s">
        <v>363</v>
      </c>
      <c r="B63" s="11" t="s">
        <v>19</v>
      </c>
      <c r="C63" s="11" t="s">
        <v>364</v>
      </c>
      <c r="D63" s="11" t="s">
        <v>115</v>
      </c>
      <c r="E63" s="11" t="s">
        <v>365</v>
      </c>
      <c r="F63" s="11" t="s">
        <v>133</v>
      </c>
      <c r="G63" s="11" t="s">
        <v>366</v>
      </c>
      <c r="H63" s="11"/>
      <c r="I63" s="11" t="s">
        <v>367</v>
      </c>
      <c r="J63" s="8" t="s">
        <v>38</v>
      </c>
      <c r="K63" s="12" t="s">
        <v>44</v>
      </c>
      <c r="L63" s="8" t="s">
        <v>3</v>
      </c>
      <c r="M63" s="11" t="s">
        <v>323</v>
      </c>
      <c r="N63" s="13" t="s">
        <v>11</v>
      </c>
      <c r="O63" s="14"/>
      <c r="P63" s="14"/>
      <c r="Q63" s="14"/>
      <c r="R63" s="13"/>
    </row>
    <row r="64" customFormat="false" ht="23.85" hidden="false" customHeight="false" outlineLevel="0" collapsed="false">
      <c r="A64" s="8" t="s">
        <v>368</v>
      </c>
      <c r="B64" s="11" t="s">
        <v>19</v>
      </c>
      <c r="C64" s="11" t="s">
        <v>369</v>
      </c>
      <c r="D64" s="11" t="s">
        <v>115</v>
      </c>
      <c r="E64" s="11" t="s">
        <v>370</v>
      </c>
      <c r="F64" s="11" t="s">
        <v>133</v>
      </c>
      <c r="G64" s="11" t="s">
        <v>371</v>
      </c>
      <c r="H64" s="11"/>
      <c r="I64" s="11" t="s">
        <v>372</v>
      </c>
      <c r="J64" s="8" t="s">
        <v>37</v>
      </c>
      <c r="K64" s="12" t="s">
        <v>44</v>
      </c>
      <c r="L64" s="8" t="s">
        <v>4</v>
      </c>
      <c r="M64" s="11"/>
      <c r="N64" s="13" t="s">
        <v>11</v>
      </c>
      <c r="O64" s="14"/>
      <c r="P64" s="14"/>
      <c r="Q64" s="14"/>
      <c r="R64" s="13"/>
    </row>
    <row r="65" customFormat="false" ht="23.85" hidden="false" customHeight="false" outlineLevel="0" collapsed="false">
      <c r="A65" s="8" t="s">
        <v>373</v>
      </c>
      <c r="B65" s="11" t="s">
        <v>19</v>
      </c>
      <c r="C65" s="11" t="s">
        <v>369</v>
      </c>
      <c r="D65" s="11" t="s">
        <v>115</v>
      </c>
      <c r="E65" s="11" t="s">
        <v>374</v>
      </c>
      <c r="F65" s="11" t="s">
        <v>133</v>
      </c>
      <c r="G65" s="11" t="s">
        <v>375</v>
      </c>
      <c r="H65" s="11"/>
      <c r="I65" s="11" t="s">
        <v>376</v>
      </c>
      <c r="J65" s="8" t="s">
        <v>37</v>
      </c>
      <c r="K65" s="12" t="s">
        <v>44</v>
      </c>
      <c r="L65" s="8" t="s">
        <v>4</v>
      </c>
      <c r="M65" s="11"/>
      <c r="N65" s="13" t="s">
        <v>11</v>
      </c>
      <c r="O65" s="14"/>
      <c r="P65" s="14"/>
      <c r="Q65" s="14"/>
      <c r="R65" s="13"/>
    </row>
    <row r="66" customFormat="false" ht="23.85" hidden="false" customHeight="false" outlineLevel="0" collapsed="false">
      <c r="A66" s="8" t="s">
        <v>377</v>
      </c>
      <c r="B66" s="11" t="s">
        <v>19</v>
      </c>
      <c r="C66" s="11" t="s">
        <v>369</v>
      </c>
      <c r="D66" s="11" t="s">
        <v>115</v>
      </c>
      <c r="E66" s="11" t="s">
        <v>378</v>
      </c>
      <c r="F66" s="11" t="s">
        <v>133</v>
      </c>
      <c r="G66" s="11" t="s">
        <v>379</v>
      </c>
      <c r="H66" s="11"/>
      <c r="I66" s="11" t="s">
        <v>380</v>
      </c>
      <c r="J66" s="8" t="s">
        <v>38</v>
      </c>
      <c r="K66" s="12" t="s">
        <v>44</v>
      </c>
      <c r="L66" s="8" t="s">
        <v>3</v>
      </c>
      <c r="M66" s="11" t="s">
        <v>323</v>
      </c>
      <c r="N66" s="13" t="s">
        <v>11</v>
      </c>
      <c r="O66" s="14"/>
      <c r="P66" s="14"/>
      <c r="Q66" s="14"/>
      <c r="R66" s="13"/>
    </row>
    <row r="67" customFormat="false" ht="23.85" hidden="false" customHeight="false" outlineLevel="0" collapsed="false">
      <c r="A67" s="8" t="s">
        <v>381</v>
      </c>
      <c r="B67" s="11" t="s">
        <v>19</v>
      </c>
      <c r="C67" s="11" t="s">
        <v>382</v>
      </c>
      <c r="D67" s="11" t="s">
        <v>115</v>
      </c>
      <c r="E67" s="11" t="s">
        <v>383</v>
      </c>
      <c r="F67" s="11" t="s">
        <v>133</v>
      </c>
      <c r="G67" s="11" t="s">
        <v>384</v>
      </c>
      <c r="H67" s="11"/>
      <c r="I67" s="11" t="s">
        <v>385</v>
      </c>
      <c r="J67" s="8" t="s">
        <v>38</v>
      </c>
      <c r="K67" s="12" t="s">
        <v>44</v>
      </c>
      <c r="L67" s="8" t="s">
        <v>3</v>
      </c>
      <c r="M67" s="11" t="s">
        <v>323</v>
      </c>
      <c r="N67" s="13" t="s">
        <v>11</v>
      </c>
      <c r="O67" s="14"/>
      <c r="P67" s="14"/>
      <c r="Q67" s="14"/>
      <c r="R67" s="13"/>
    </row>
    <row r="68" customFormat="false" ht="23.85" hidden="false" customHeight="false" outlineLevel="0" collapsed="false">
      <c r="A68" s="8" t="s">
        <v>386</v>
      </c>
      <c r="B68" s="11" t="s">
        <v>19</v>
      </c>
      <c r="C68" s="11" t="s">
        <v>387</v>
      </c>
      <c r="D68" s="11" t="s">
        <v>115</v>
      </c>
      <c r="E68" s="11" t="s">
        <v>388</v>
      </c>
      <c r="F68" s="11" t="s">
        <v>133</v>
      </c>
      <c r="G68" s="11" t="s">
        <v>389</v>
      </c>
      <c r="H68" s="11"/>
      <c r="I68" s="11" t="s">
        <v>390</v>
      </c>
      <c r="J68" s="8" t="s">
        <v>38</v>
      </c>
      <c r="K68" s="12" t="s">
        <v>44</v>
      </c>
      <c r="L68" s="8" t="s">
        <v>3</v>
      </c>
      <c r="M68" s="11" t="s">
        <v>323</v>
      </c>
      <c r="N68" s="13" t="s">
        <v>11</v>
      </c>
      <c r="O68" s="14"/>
      <c r="P68" s="14"/>
      <c r="Q68" s="14"/>
      <c r="R68" s="13"/>
    </row>
    <row r="69" customFormat="false" ht="23.85" hidden="false" customHeight="false" outlineLevel="0" collapsed="false">
      <c r="A69" s="8" t="s">
        <v>391</v>
      </c>
      <c r="B69" s="11" t="s">
        <v>19</v>
      </c>
      <c r="C69" s="11" t="s">
        <v>387</v>
      </c>
      <c r="D69" s="11" t="s">
        <v>115</v>
      </c>
      <c r="E69" s="11" t="s">
        <v>392</v>
      </c>
      <c r="F69" s="11" t="s">
        <v>133</v>
      </c>
      <c r="G69" s="11" t="s">
        <v>393</v>
      </c>
      <c r="H69" s="11"/>
      <c r="I69" s="11" t="s">
        <v>394</v>
      </c>
      <c r="J69" s="8" t="s">
        <v>37</v>
      </c>
      <c r="K69" s="12" t="s">
        <v>45</v>
      </c>
      <c r="L69" s="8" t="s">
        <v>4</v>
      </c>
      <c r="M69" s="11"/>
      <c r="N69" s="13" t="s">
        <v>11</v>
      </c>
      <c r="O69" s="14"/>
      <c r="P69" s="14"/>
      <c r="Q69" s="14"/>
      <c r="R69" s="13"/>
    </row>
    <row r="70" customFormat="false" ht="23.85" hidden="false" customHeight="false" outlineLevel="0" collapsed="false">
      <c r="A70" s="8" t="s">
        <v>395</v>
      </c>
      <c r="B70" s="11" t="s">
        <v>19</v>
      </c>
      <c r="C70" s="11" t="s">
        <v>396</v>
      </c>
      <c r="D70" s="11" t="s">
        <v>115</v>
      </c>
      <c r="E70" s="11" t="s">
        <v>397</v>
      </c>
      <c r="F70" s="11" t="s">
        <v>133</v>
      </c>
      <c r="G70" s="11" t="s">
        <v>398</v>
      </c>
      <c r="H70" s="11"/>
      <c r="I70" s="11" t="s">
        <v>399</v>
      </c>
      <c r="J70" s="8" t="s">
        <v>37</v>
      </c>
      <c r="K70" s="12" t="s">
        <v>44</v>
      </c>
      <c r="L70" s="8" t="s">
        <v>4</v>
      </c>
      <c r="M70" s="11"/>
      <c r="N70" s="13" t="s">
        <v>11</v>
      </c>
      <c r="O70" s="14"/>
      <c r="P70" s="14"/>
      <c r="Q70" s="14"/>
      <c r="R70" s="13"/>
    </row>
    <row r="71" customFormat="false" ht="23.85" hidden="false" customHeight="false" outlineLevel="0" collapsed="false">
      <c r="A71" s="8" t="s">
        <v>400</v>
      </c>
      <c r="B71" s="11" t="s">
        <v>19</v>
      </c>
      <c r="C71" s="11" t="s">
        <v>401</v>
      </c>
      <c r="D71" s="11" t="s">
        <v>115</v>
      </c>
      <c r="E71" s="11" t="s">
        <v>402</v>
      </c>
      <c r="F71" s="11" t="s">
        <v>117</v>
      </c>
      <c r="G71" s="11" t="s">
        <v>403</v>
      </c>
      <c r="H71" s="11"/>
      <c r="I71" s="11" t="s">
        <v>404</v>
      </c>
      <c r="J71" s="8" t="s">
        <v>41</v>
      </c>
      <c r="K71" s="12" t="s">
        <v>44</v>
      </c>
      <c r="L71" s="8" t="s">
        <v>4</v>
      </c>
      <c r="M71" s="11"/>
      <c r="N71" s="13" t="s">
        <v>11</v>
      </c>
      <c r="O71" s="14"/>
      <c r="P71" s="14"/>
      <c r="Q71" s="14"/>
      <c r="R71" s="13"/>
    </row>
    <row r="72" customFormat="false" ht="23.85" hidden="false" customHeight="false" outlineLevel="0" collapsed="false">
      <c r="A72" s="8" t="s">
        <v>405</v>
      </c>
      <c r="B72" s="11" t="s">
        <v>20</v>
      </c>
      <c r="C72" s="11" t="s">
        <v>406</v>
      </c>
      <c r="D72" s="11" t="s">
        <v>115</v>
      </c>
      <c r="E72" s="11" t="s">
        <v>407</v>
      </c>
      <c r="F72" s="11" t="s">
        <v>133</v>
      </c>
      <c r="G72" s="11" t="s">
        <v>408</v>
      </c>
      <c r="H72" s="11"/>
      <c r="I72" s="11" t="s">
        <v>409</v>
      </c>
      <c r="J72" s="8" t="s">
        <v>38</v>
      </c>
      <c r="K72" s="12" t="s">
        <v>43</v>
      </c>
      <c r="L72" s="8" t="s">
        <v>3</v>
      </c>
      <c r="M72" s="11" t="s">
        <v>323</v>
      </c>
      <c r="N72" s="13" t="s">
        <v>11</v>
      </c>
      <c r="O72" s="14"/>
      <c r="P72" s="14"/>
      <c r="Q72" s="14"/>
      <c r="R72" s="13"/>
    </row>
    <row r="73" customFormat="false" ht="23.85" hidden="false" customHeight="false" outlineLevel="0" collapsed="false">
      <c r="A73" s="8" t="s">
        <v>410</v>
      </c>
      <c r="B73" s="11" t="s">
        <v>20</v>
      </c>
      <c r="C73" s="11" t="s">
        <v>406</v>
      </c>
      <c r="D73" s="11" t="s">
        <v>115</v>
      </c>
      <c r="E73" s="11" t="s">
        <v>411</v>
      </c>
      <c r="F73" s="11" t="s">
        <v>133</v>
      </c>
      <c r="G73" s="11" t="s">
        <v>412</v>
      </c>
      <c r="H73" s="11"/>
      <c r="I73" s="11" t="s">
        <v>413</v>
      </c>
      <c r="J73" s="8" t="s">
        <v>38</v>
      </c>
      <c r="K73" s="12" t="s">
        <v>43</v>
      </c>
      <c r="L73" s="8" t="s">
        <v>3</v>
      </c>
      <c r="M73" s="11" t="s">
        <v>323</v>
      </c>
      <c r="N73" s="13" t="s">
        <v>11</v>
      </c>
      <c r="O73" s="14"/>
      <c r="P73" s="14"/>
      <c r="Q73" s="14"/>
      <c r="R73" s="13"/>
    </row>
    <row r="74" customFormat="false" ht="23.85" hidden="false" customHeight="false" outlineLevel="0" collapsed="false">
      <c r="A74" s="8" t="s">
        <v>414</v>
      </c>
      <c r="B74" s="11" t="s">
        <v>20</v>
      </c>
      <c r="C74" s="11" t="s">
        <v>406</v>
      </c>
      <c r="D74" s="11" t="s">
        <v>415</v>
      </c>
      <c r="E74" s="11" t="s">
        <v>416</v>
      </c>
      <c r="F74" s="11" t="s">
        <v>117</v>
      </c>
      <c r="G74" s="11" t="s">
        <v>417</v>
      </c>
      <c r="H74" s="11"/>
      <c r="I74" s="11" t="s">
        <v>418</v>
      </c>
      <c r="J74" s="8" t="s">
        <v>38</v>
      </c>
      <c r="K74" s="12" t="s">
        <v>44</v>
      </c>
      <c r="L74" s="8" t="s">
        <v>3</v>
      </c>
      <c r="M74" s="11" t="s">
        <v>323</v>
      </c>
      <c r="N74" s="13" t="s">
        <v>11</v>
      </c>
      <c r="O74" s="14"/>
      <c r="P74" s="14"/>
      <c r="Q74" s="14"/>
      <c r="R74" s="13"/>
    </row>
    <row r="75" customFormat="false" ht="23.85" hidden="false" customHeight="false" outlineLevel="0" collapsed="false">
      <c r="A75" s="8" t="s">
        <v>419</v>
      </c>
      <c r="B75" s="11" t="s">
        <v>20</v>
      </c>
      <c r="C75" s="11" t="s">
        <v>406</v>
      </c>
      <c r="D75" s="11" t="s">
        <v>115</v>
      </c>
      <c r="E75" s="11" t="s">
        <v>420</v>
      </c>
      <c r="F75" s="11" t="s">
        <v>421</v>
      </c>
      <c r="G75" s="11" t="s">
        <v>422</v>
      </c>
      <c r="H75" s="11"/>
      <c r="I75" s="11" t="s">
        <v>423</v>
      </c>
      <c r="J75" s="8" t="s">
        <v>38</v>
      </c>
      <c r="K75" s="12" t="s">
        <v>43</v>
      </c>
      <c r="L75" s="8" t="s">
        <v>3</v>
      </c>
      <c r="M75" s="11" t="s">
        <v>323</v>
      </c>
      <c r="N75" s="13" t="s">
        <v>11</v>
      </c>
      <c r="O75" s="14"/>
      <c r="P75" s="14"/>
      <c r="Q75" s="14"/>
      <c r="R75" s="13"/>
    </row>
    <row r="76" customFormat="false" ht="15" hidden="false" customHeight="false" outlineLevel="0" collapsed="false">
      <c r="A76" s="8" t="s">
        <v>424</v>
      </c>
      <c r="B76" s="11" t="s">
        <v>20</v>
      </c>
      <c r="C76" s="11" t="s">
        <v>425</v>
      </c>
      <c r="D76" s="11" t="s">
        <v>115</v>
      </c>
      <c r="E76" s="11" t="s">
        <v>426</v>
      </c>
      <c r="F76" s="11" t="s">
        <v>421</v>
      </c>
      <c r="G76" s="11" t="s">
        <v>427</v>
      </c>
      <c r="H76" s="11"/>
      <c r="I76" s="11" t="s">
        <v>428</v>
      </c>
      <c r="J76" s="8" t="s">
        <v>41</v>
      </c>
      <c r="K76" s="12" t="s">
        <v>44</v>
      </c>
      <c r="L76" s="8" t="s">
        <v>4</v>
      </c>
      <c r="M76" s="11"/>
      <c r="N76" s="13" t="s">
        <v>11</v>
      </c>
      <c r="O76" s="14"/>
      <c r="P76" s="14"/>
      <c r="Q76" s="14"/>
      <c r="R76" s="13"/>
    </row>
    <row r="77" customFormat="false" ht="15" hidden="false" customHeight="false" outlineLevel="0" collapsed="false">
      <c r="A77" s="8" t="s">
        <v>429</v>
      </c>
      <c r="B77" s="11" t="s">
        <v>20</v>
      </c>
      <c r="C77" s="11" t="s">
        <v>37</v>
      </c>
      <c r="D77" s="11" t="s">
        <v>115</v>
      </c>
      <c r="E77" s="11" t="s">
        <v>430</v>
      </c>
      <c r="F77" s="11" t="s">
        <v>421</v>
      </c>
      <c r="G77" s="11" t="s">
        <v>431</v>
      </c>
      <c r="H77" s="11"/>
      <c r="I77" s="11" t="s">
        <v>432</v>
      </c>
      <c r="J77" s="8" t="s">
        <v>37</v>
      </c>
      <c r="K77" s="12" t="s">
        <v>44</v>
      </c>
      <c r="L77" s="8" t="s">
        <v>4</v>
      </c>
      <c r="M77" s="11"/>
      <c r="N77" s="13" t="s">
        <v>11</v>
      </c>
      <c r="O77" s="14"/>
      <c r="P77" s="14"/>
      <c r="Q77" s="14"/>
      <c r="R77" s="13"/>
    </row>
    <row r="78" customFormat="false" ht="23.85" hidden="false" customHeight="false" outlineLevel="0" collapsed="false">
      <c r="A78" s="8" t="s">
        <v>433</v>
      </c>
      <c r="B78" s="11" t="s">
        <v>21</v>
      </c>
      <c r="C78" s="11" t="s">
        <v>434</v>
      </c>
      <c r="D78" s="11" t="s">
        <v>73</v>
      </c>
      <c r="E78" s="11" t="s">
        <v>435</v>
      </c>
      <c r="F78" s="11" t="s">
        <v>133</v>
      </c>
      <c r="G78" s="11" t="s">
        <v>436</v>
      </c>
      <c r="H78" s="11"/>
      <c r="I78" s="11" t="s">
        <v>437</v>
      </c>
      <c r="J78" s="8" t="s">
        <v>41</v>
      </c>
      <c r="K78" s="12" t="s">
        <v>43</v>
      </c>
      <c r="L78" s="8" t="s">
        <v>3</v>
      </c>
      <c r="M78" s="11" t="s">
        <v>438</v>
      </c>
      <c r="N78" s="13" t="s">
        <v>11</v>
      </c>
      <c r="O78" s="14"/>
      <c r="P78" s="14"/>
      <c r="Q78" s="14"/>
      <c r="R78" s="13"/>
    </row>
    <row r="79" customFormat="false" ht="23.85" hidden="false" customHeight="false" outlineLevel="0" collapsed="false">
      <c r="A79" s="8" t="s">
        <v>439</v>
      </c>
      <c r="B79" s="11" t="s">
        <v>21</v>
      </c>
      <c r="C79" s="11" t="s">
        <v>434</v>
      </c>
      <c r="D79" s="11" t="s">
        <v>73</v>
      </c>
      <c r="E79" s="11" t="s">
        <v>440</v>
      </c>
      <c r="F79" s="11" t="s">
        <v>133</v>
      </c>
      <c r="G79" s="11" t="s">
        <v>441</v>
      </c>
      <c r="H79" s="11"/>
      <c r="I79" s="11" t="s">
        <v>442</v>
      </c>
      <c r="J79" s="8" t="s">
        <v>34</v>
      </c>
      <c r="K79" s="12" t="s">
        <v>45</v>
      </c>
      <c r="L79" s="8" t="s">
        <v>3</v>
      </c>
      <c r="M79" s="11" t="s">
        <v>438</v>
      </c>
      <c r="N79" s="13" t="s">
        <v>11</v>
      </c>
      <c r="O79" s="14"/>
      <c r="P79" s="14"/>
      <c r="Q79" s="14"/>
      <c r="R79" s="13"/>
    </row>
    <row r="80" customFormat="false" ht="23.85" hidden="false" customHeight="false" outlineLevel="0" collapsed="false">
      <c r="A80" s="8" t="s">
        <v>443</v>
      </c>
      <c r="B80" s="11" t="s">
        <v>21</v>
      </c>
      <c r="C80" s="11" t="s">
        <v>444</v>
      </c>
      <c r="D80" s="11" t="s">
        <v>73</v>
      </c>
      <c r="E80" s="11" t="s">
        <v>445</v>
      </c>
      <c r="F80" s="11" t="s">
        <v>133</v>
      </c>
      <c r="G80" s="11" t="s">
        <v>446</v>
      </c>
      <c r="H80" s="11"/>
      <c r="I80" s="11" t="s">
        <v>447</v>
      </c>
      <c r="J80" s="8" t="s">
        <v>38</v>
      </c>
      <c r="K80" s="12" t="s">
        <v>43</v>
      </c>
      <c r="L80" s="8" t="s">
        <v>3</v>
      </c>
      <c r="M80" s="11" t="s">
        <v>438</v>
      </c>
      <c r="N80" s="13" t="s">
        <v>11</v>
      </c>
      <c r="O80" s="14"/>
      <c r="P80" s="14"/>
      <c r="Q80" s="14"/>
      <c r="R80" s="13"/>
    </row>
    <row r="81" customFormat="false" ht="23.85" hidden="false" customHeight="false" outlineLevel="0" collapsed="false">
      <c r="A81" s="8" t="s">
        <v>448</v>
      </c>
      <c r="B81" s="11" t="s">
        <v>21</v>
      </c>
      <c r="C81" s="11" t="s">
        <v>444</v>
      </c>
      <c r="D81" s="11" t="s">
        <v>73</v>
      </c>
      <c r="E81" s="11" t="s">
        <v>449</v>
      </c>
      <c r="F81" s="11" t="s">
        <v>133</v>
      </c>
      <c r="G81" s="11" t="s">
        <v>450</v>
      </c>
      <c r="H81" s="11"/>
      <c r="I81" s="11" t="s">
        <v>451</v>
      </c>
      <c r="J81" s="8" t="s">
        <v>38</v>
      </c>
      <c r="K81" s="12" t="s">
        <v>43</v>
      </c>
      <c r="L81" s="8" t="s">
        <v>3</v>
      </c>
      <c r="M81" s="11" t="s">
        <v>438</v>
      </c>
      <c r="N81" s="13" t="s">
        <v>11</v>
      </c>
      <c r="O81" s="14"/>
      <c r="P81" s="14"/>
      <c r="Q81" s="14"/>
      <c r="R81" s="13"/>
    </row>
    <row r="82" customFormat="false" ht="23.85" hidden="false" customHeight="false" outlineLevel="0" collapsed="false">
      <c r="A82" s="8" t="s">
        <v>452</v>
      </c>
      <c r="B82" s="11" t="s">
        <v>21</v>
      </c>
      <c r="C82" s="11" t="s">
        <v>444</v>
      </c>
      <c r="D82" s="11" t="s">
        <v>73</v>
      </c>
      <c r="E82" s="11" t="s">
        <v>453</v>
      </c>
      <c r="F82" s="11" t="s">
        <v>133</v>
      </c>
      <c r="G82" s="11" t="s">
        <v>454</v>
      </c>
      <c r="H82" s="11"/>
      <c r="I82" s="11" t="s">
        <v>455</v>
      </c>
      <c r="J82" s="8" t="s">
        <v>38</v>
      </c>
      <c r="K82" s="12" t="s">
        <v>44</v>
      </c>
      <c r="L82" s="8" t="s">
        <v>3</v>
      </c>
      <c r="M82" s="11" t="s">
        <v>438</v>
      </c>
      <c r="N82" s="13" t="s">
        <v>11</v>
      </c>
      <c r="O82" s="14"/>
      <c r="P82" s="14"/>
      <c r="Q82" s="14"/>
      <c r="R82" s="13"/>
    </row>
    <row r="83" customFormat="false" ht="23.85" hidden="false" customHeight="false" outlineLevel="0" collapsed="false">
      <c r="A83" s="8" t="s">
        <v>456</v>
      </c>
      <c r="B83" s="11" t="s">
        <v>21</v>
      </c>
      <c r="C83" s="11" t="s">
        <v>444</v>
      </c>
      <c r="D83" s="11" t="s">
        <v>73</v>
      </c>
      <c r="E83" s="11" t="s">
        <v>457</v>
      </c>
      <c r="F83" s="11" t="s">
        <v>133</v>
      </c>
      <c r="G83" s="11" t="s">
        <v>458</v>
      </c>
      <c r="H83" s="11"/>
      <c r="I83" s="11" t="s">
        <v>459</v>
      </c>
      <c r="J83" s="8" t="s">
        <v>38</v>
      </c>
      <c r="K83" s="12" t="s">
        <v>43</v>
      </c>
      <c r="L83" s="8" t="s">
        <v>3</v>
      </c>
      <c r="M83" s="11" t="s">
        <v>438</v>
      </c>
      <c r="N83" s="13" t="s">
        <v>11</v>
      </c>
      <c r="O83" s="14"/>
      <c r="P83" s="14"/>
      <c r="Q83" s="14"/>
      <c r="R83" s="13"/>
    </row>
    <row r="84" customFormat="false" ht="23.85" hidden="false" customHeight="false" outlineLevel="0" collapsed="false">
      <c r="A84" s="8" t="s">
        <v>460</v>
      </c>
      <c r="B84" s="11" t="s">
        <v>21</v>
      </c>
      <c r="C84" s="11" t="s">
        <v>444</v>
      </c>
      <c r="D84" s="11" t="s">
        <v>73</v>
      </c>
      <c r="E84" s="11" t="s">
        <v>461</v>
      </c>
      <c r="F84" s="11" t="s">
        <v>133</v>
      </c>
      <c r="G84" s="11" t="s">
        <v>462</v>
      </c>
      <c r="H84" s="11"/>
      <c r="I84" s="11" t="s">
        <v>455</v>
      </c>
      <c r="J84" s="8" t="s">
        <v>38</v>
      </c>
      <c r="K84" s="12" t="s">
        <v>44</v>
      </c>
      <c r="L84" s="8" t="s">
        <v>3</v>
      </c>
      <c r="M84" s="11" t="s">
        <v>438</v>
      </c>
      <c r="N84" s="13" t="s">
        <v>11</v>
      </c>
      <c r="O84" s="14"/>
      <c r="P84" s="14"/>
      <c r="Q84" s="14"/>
      <c r="R84" s="13"/>
    </row>
    <row r="85" customFormat="false" ht="23.85" hidden="false" customHeight="false" outlineLevel="0" collapsed="false">
      <c r="A85" s="8" t="s">
        <v>463</v>
      </c>
      <c r="B85" s="11" t="s">
        <v>21</v>
      </c>
      <c r="C85" s="11" t="s">
        <v>444</v>
      </c>
      <c r="D85" s="11" t="s">
        <v>73</v>
      </c>
      <c r="E85" s="11" t="s">
        <v>464</v>
      </c>
      <c r="F85" s="11" t="s">
        <v>133</v>
      </c>
      <c r="G85" s="11" t="s">
        <v>465</v>
      </c>
      <c r="H85" s="11"/>
      <c r="I85" s="11" t="s">
        <v>466</v>
      </c>
      <c r="J85" s="8" t="s">
        <v>38</v>
      </c>
      <c r="K85" s="12" t="s">
        <v>43</v>
      </c>
      <c r="L85" s="8" t="s">
        <v>3</v>
      </c>
      <c r="M85" s="11" t="s">
        <v>438</v>
      </c>
      <c r="N85" s="13" t="s">
        <v>11</v>
      </c>
      <c r="O85" s="14"/>
      <c r="P85" s="14"/>
      <c r="Q85" s="14"/>
      <c r="R85" s="13"/>
    </row>
    <row r="86" customFormat="false" ht="23.85" hidden="false" customHeight="false" outlineLevel="0" collapsed="false">
      <c r="A86" s="8" t="s">
        <v>467</v>
      </c>
      <c r="B86" s="11" t="s">
        <v>21</v>
      </c>
      <c r="C86" s="11" t="s">
        <v>444</v>
      </c>
      <c r="D86" s="11" t="s">
        <v>73</v>
      </c>
      <c r="E86" s="11" t="s">
        <v>468</v>
      </c>
      <c r="F86" s="11" t="s">
        <v>133</v>
      </c>
      <c r="G86" s="11" t="s">
        <v>469</v>
      </c>
      <c r="H86" s="11"/>
      <c r="I86" s="11" t="s">
        <v>455</v>
      </c>
      <c r="J86" s="8" t="s">
        <v>38</v>
      </c>
      <c r="K86" s="12" t="s">
        <v>44</v>
      </c>
      <c r="L86" s="8" t="s">
        <v>3</v>
      </c>
      <c r="M86" s="11" t="s">
        <v>438</v>
      </c>
      <c r="N86" s="13" t="s">
        <v>11</v>
      </c>
      <c r="O86" s="14"/>
      <c r="P86" s="14"/>
      <c r="Q86" s="14"/>
      <c r="R86" s="13"/>
    </row>
    <row r="87" customFormat="false" ht="23.85" hidden="false" customHeight="false" outlineLevel="0" collapsed="false">
      <c r="A87" s="8" t="s">
        <v>470</v>
      </c>
      <c r="B87" s="11" t="s">
        <v>21</v>
      </c>
      <c r="C87" s="11" t="s">
        <v>444</v>
      </c>
      <c r="D87" s="11" t="s">
        <v>73</v>
      </c>
      <c r="E87" s="11" t="s">
        <v>471</v>
      </c>
      <c r="F87" s="11" t="s">
        <v>133</v>
      </c>
      <c r="G87" s="11" t="s">
        <v>472</v>
      </c>
      <c r="H87" s="11"/>
      <c r="I87" s="11" t="s">
        <v>473</v>
      </c>
      <c r="J87" s="8" t="s">
        <v>41</v>
      </c>
      <c r="K87" s="12" t="s">
        <v>45</v>
      </c>
      <c r="L87" s="8" t="s">
        <v>4</v>
      </c>
      <c r="M87" s="11"/>
      <c r="N87" s="13" t="s">
        <v>11</v>
      </c>
      <c r="O87" s="14"/>
      <c r="P87" s="14"/>
      <c r="Q87" s="14"/>
      <c r="R87" s="13"/>
    </row>
    <row r="88" customFormat="false" ht="23.85" hidden="false" customHeight="false" outlineLevel="0" collapsed="false">
      <c r="A88" s="8" t="s">
        <v>474</v>
      </c>
      <c r="B88" s="11" t="s">
        <v>21</v>
      </c>
      <c r="C88" s="11" t="s">
        <v>444</v>
      </c>
      <c r="D88" s="11" t="s">
        <v>73</v>
      </c>
      <c r="E88" s="11" t="s">
        <v>475</v>
      </c>
      <c r="F88" s="11" t="s">
        <v>133</v>
      </c>
      <c r="G88" s="11" t="s">
        <v>476</v>
      </c>
      <c r="H88" s="11"/>
      <c r="I88" s="11" t="s">
        <v>477</v>
      </c>
      <c r="J88" s="8" t="s">
        <v>38</v>
      </c>
      <c r="K88" s="12" t="s">
        <v>43</v>
      </c>
      <c r="L88" s="8" t="s">
        <v>3</v>
      </c>
      <c r="M88" s="11" t="s">
        <v>163</v>
      </c>
      <c r="N88" s="13" t="s">
        <v>11</v>
      </c>
      <c r="O88" s="14"/>
      <c r="P88" s="14"/>
      <c r="Q88" s="14"/>
      <c r="R88" s="13"/>
    </row>
    <row r="89" customFormat="false" ht="23.85" hidden="false" customHeight="false" outlineLevel="0" collapsed="false">
      <c r="A89" s="8" t="s">
        <v>478</v>
      </c>
      <c r="B89" s="11" t="s">
        <v>21</v>
      </c>
      <c r="C89" s="11" t="s">
        <v>479</v>
      </c>
      <c r="D89" s="11" t="s">
        <v>73</v>
      </c>
      <c r="E89" s="11" t="s">
        <v>480</v>
      </c>
      <c r="F89" s="11" t="s">
        <v>133</v>
      </c>
      <c r="G89" s="11" t="s">
        <v>481</v>
      </c>
      <c r="H89" s="11"/>
      <c r="I89" s="11" t="s">
        <v>482</v>
      </c>
      <c r="J89" s="8" t="s">
        <v>41</v>
      </c>
      <c r="K89" s="12" t="s">
        <v>44</v>
      </c>
      <c r="L89" s="8" t="s">
        <v>3</v>
      </c>
      <c r="M89" s="11" t="s">
        <v>438</v>
      </c>
      <c r="N89" s="13" t="s">
        <v>11</v>
      </c>
      <c r="O89" s="14"/>
      <c r="P89" s="14"/>
      <c r="Q89" s="14"/>
      <c r="R89" s="13"/>
    </row>
    <row r="90" customFormat="false" ht="23.85" hidden="false" customHeight="false" outlineLevel="0" collapsed="false">
      <c r="A90" s="8" t="s">
        <v>483</v>
      </c>
      <c r="B90" s="11" t="s">
        <v>21</v>
      </c>
      <c r="C90" s="11" t="s">
        <v>479</v>
      </c>
      <c r="D90" s="11" t="s">
        <v>73</v>
      </c>
      <c r="E90" s="11" t="s">
        <v>484</v>
      </c>
      <c r="F90" s="11" t="s">
        <v>133</v>
      </c>
      <c r="G90" s="11" t="s">
        <v>485</v>
      </c>
      <c r="H90" s="11"/>
      <c r="I90" s="11" t="s">
        <v>486</v>
      </c>
      <c r="J90" s="8" t="s">
        <v>38</v>
      </c>
      <c r="K90" s="12" t="s">
        <v>44</v>
      </c>
      <c r="L90" s="8" t="s">
        <v>3</v>
      </c>
      <c r="M90" s="11" t="s">
        <v>438</v>
      </c>
      <c r="N90" s="13" t="s">
        <v>11</v>
      </c>
      <c r="O90" s="14"/>
      <c r="P90" s="14"/>
      <c r="Q90" s="14"/>
      <c r="R90" s="13"/>
    </row>
    <row r="91" customFormat="false" ht="23.85" hidden="false" customHeight="false" outlineLevel="0" collapsed="false">
      <c r="A91" s="8" t="s">
        <v>487</v>
      </c>
      <c r="B91" s="11" t="s">
        <v>21</v>
      </c>
      <c r="C91" s="11" t="s">
        <v>479</v>
      </c>
      <c r="D91" s="11" t="s">
        <v>73</v>
      </c>
      <c r="E91" s="11" t="s">
        <v>488</v>
      </c>
      <c r="F91" s="11" t="s">
        <v>133</v>
      </c>
      <c r="G91" s="11" t="s">
        <v>489</v>
      </c>
      <c r="H91" s="11"/>
      <c r="I91" s="11" t="s">
        <v>490</v>
      </c>
      <c r="J91" s="8" t="s">
        <v>38</v>
      </c>
      <c r="K91" s="12" t="s">
        <v>44</v>
      </c>
      <c r="L91" s="8" t="s">
        <v>3</v>
      </c>
      <c r="M91" s="11" t="s">
        <v>438</v>
      </c>
      <c r="N91" s="13" t="s">
        <v>11</v>
      </c>
      <c r="O91" s="14"/>
      <c r="P91" s="14"/>
      <c r="Q91" s="14"/>
      <c r="R91" s="13"/>
    </row>
    <row r="92" customFormat="false" ht="35.05" hidden="false" customHeight="false" outlineLevel="0" collapsed="false">
      <c r="A92" s="8" t="s">
        <v>491</v>
      </c>
      <c r="B92" s="11" t="s">
        <v>21</v>
      </c>
      <c r="C92" s="11" t="s">
        <v>479</v>
      </c>
      <c r="D92" s="11" t="s">
        <v>73</v>
      </c>
      <c r="E92" s="11" t="s">
        <v>492</v>
      </c>
      <c r="F92" s="11" t="s">
        <v>133</v>
      </c>
      <c r="G92" s="11" t="s">
        <v>493</v>
      </c>
      <c r="H92" s="11"/>
      <c r="I92" s="11" t="s">
        <v>494</v>
      </c>
      <c r="J92" s="8" t="s">
        <v>38</v>
      </c>
      <c r="K92" s="12" t="s">
        <v>44</v>
      </c>
      <c r="L92" s="8" t="s">
        <v>3</v>
      </c>
      <c r="M92" s="11" t="s">
        <v>438</v>
      </c>
      <c r="N92" s="13" t="s">
        <v>11</v>
      </c>
      <c r="O92" s="14"/>
      <c r="P92" s="14"/>
      <c r="Q92" s="14"/>
      <c r="R92" s="13"/>
    </row>
    <row r="93" customFormat="false" ht="23.85" hidden="false" customHeight="false" outlineLevel="0" collapsed="false">
      <c r="A93" s="8" t="s">
        <v>495</v>
      </c>
      <c r="B93" s="11" t="s">
        <v>21</v>
      </c>
      <c r="C93" s="11" t="s">
        <v>479</v>
      </c>
      <c r="D93" s="11" t="s">
        <v>73</v>
      </c>
      <c r="E93" s="11" t="s">
        <v>496</v>
      </c>
      <c r="F93" s="11" t="s">
        <v>133</v>
      </c>
      <c r="G93" s="11" t="s">
        <v>497</v>
      </c>
      <c r="H93" s="11"/>
      <c r="I93" s="11" t="s">
        <v>498</v>
      </c>
      <c r="J93" s="8" t="s">
        <v>37</v>
      </c>
      <c r="K93" s="12" t="s">
        <v>45</v>
      </c>
      <c r="L93" s="8" t="s">
        <v>4</v>
      </c>
      <c r="M93" s="11"/>
      <c r="N93" s="13" t="s">
        <v>11</v>
      </c>
      <c r="O93" s="14"/>
      <c r="P93" s="14"/>
      <c r="Q93" s="14"/>
      <c r="R93" s="13"/>
    </row>
    <row r="94" customFormat="false" ht="23.85" hidden="false" customHeight="false" outlineLevel="0" collapsed="false">
      <c r="A94" s="8" t="s">
        <v>499</v>
      </c>
      <c r="B94" s="11" t="s">
        <v>21</v>
      </c>
      <c r="C94" s="11" t="s">
        <v>479</v>
      </c>
      <c r="D94" s="11" t="s">
        <v>73</v>
      </c>
      <c r="E94" s="11" t="s">
        <v>500</v>
      </c>
      <c r="F94" s="11" t="s">
        <v>133</v>
      </c>
      <c r="G94" s="11" t="s">
        <v>501</v>
      </c>
      <c r="H94" s="11"/>
      <c r="I94" s="11" t="s">
        <v>477</v>
      </c>
      <c r="J94" s="8" t="s">
        <v>38</v>
      </c>
      <c r="K94" s="12" t="s">
        <v>43</v>
      </c>
      <c r="L94" s="8" t="s">
        <v>3</v>
      </c>
      <c r="M94" s="11" t="s">
        <v>438</v>
      </c>
      <c r="N94" s="13" t="s">
        <v>11</v>
      </c>
      <c r="O94" s="14"/>
      <c r="P94" s="14"/>
      <c r="Q94" s="14"/>
      <c r="R94" s="13"/>
    </row>
    <row r="95" customFormat="false" ht="23.85" hidden="false" customHeight="false" outlineLevel="0" collapsed="false">
      <c r="A95" s="8" t="s">
        <v>502</v>
      </c>
      <c r="B95" s="11" t="s">
        <v>21</v>
      </c>
      <c r="C95" s="11" t="s">
        <v>479</v>
      </c>
      <c r="D95" s="11" t="s">
        <v>73</v>
      </c>
      <c r="E95" s="11" t="s">
        <v>503</v>
      </c>
      <c r="F95" s="11" t="s">
        <v>133</v>
      </c>
      <c r="G95" s="11" t="s">
        <v>504</v>
      </c>
      <c r="H95" s="11"/>
      <c r="I95" s="11" t="s">
        <v>505</v>
      </c>
      <c r="J95" s="8" t="s">
        <v>34</v>
      </c>
      <c r="K95" s="12" t="s">
        <v>45</v>
      </c>
      <c r="L95" s="8" t="s">
        <v>4</v>
      </c>
      <c r="M95" s="11"/>
      <c r="N95" s="13" t="s">
        <v>11</v>
      </c>
      <c r="O95" s="14"/>
      <c r="P95" s="14"/>
      <c r="Q95" s="14"/>
      <c r="R95" s="13"/>
    </row>
    <row r="96" customFormat="false" ht="23.85" hidden="false" customHeight="false" outlineLevel="0" collapsed="false">
      <c r="A96" s="8" t="s">
        <v>506</v>
      </c>
      <c r="B96" s="11" t="s">
        <v>21</v>
      </c>
      <c r="C96" s="11" t="s">
        <v>507</v>
      </c>
      <c r="D96" s="11" t="s">
        <v>73</v>
      </c>
      <c r="E96" s="11" t="s">
        <v>508</v>
      </c>
      <c r="F96" s="11" t="s">
        <v>133</v>
      </c>
      <c r="G96" s="11" t="s">
        <v>509</v>
      </c>
      <c r="H96" s="11"/>
      <c r="I96" s="11" t="s">
        <v>510</v>
      </c>
      <c r="J96" s="8" t="s">
        <v>38</v>
      </c>
      <c r="K96" s="12" t="s">
        <v>43</v>
      </c>
      <c r="L96" s="8" t="s">
        <v>3</v>
      </c>
      <c r="M96" s="11" t="s">
        <v>438</v>
      </c>
      <c r="N96" s="13" t="s">
        <v>11</v>
      </c>
      <c r="O96" s="14"/>
      <c r="P96" s="14"/>
      <c r="Q96" s="14"/>
      <c r="R96" s="13"/>
    </row>
    <row r="97" customFormat="false" ht="23.85" hidden="false" customHeight="false" outlineLevel="0" collapsed="false">
      <c r="A97" s="8" t="s">
        <v>511</v>
      </c>
      <c r="B97" s="11" t="s">
        <v>21</v>
      </c>
      <c r="C97" s="11" t="s">
        <v>507</v>
      </c>
      <c r="D97" s="11" t="s">
        <v>73</v>
      </c>
      <c r="E97" s="11" t="s">
        <v>512</v>
      </c>
      <c r="F97" s="11" t="s">
        <v>133</v>
      </c>
      <c r="G97" s="11" t="s">
        <v>513</v>
      </c>
      <c r="H97" s="11"/>
      <c r="I97" s="11" t="s">
        <v>514</v>
      </c>
      <c r="J97" s="8" t="s">
        <v>38</v>
      </c>
      <c r="K97" s="12" t="s">
        <v>43</v>
      </c>
      <c r="L97" s="8" t="s">
        <v>3</v>
      </c>
      <c r="M97" s="11" t="s">
        <v>438</v>
      </c>
      <c r="N97" s="13" t="s">
        <v>11</v>
      </c>
      <c r="O97" s="14"/>
      <c r="P97" s="14"/>
      <c r="Q97" s="14"/>
      <c r="R97" s="13"/>
    </row>
    <row r="98" customFormat="false" ht="23.85" hidden="false" customHeight="false" outlineLevel="0" collapsed="false">
      <c r="A98" s="8" t="s">
        <v>515</v>
      </c>
      <c r="B98" s="11" t="s">
        <v>21</v>
      </c>
      <c r="C98" s="11" t="s">
        <v>507</v>
      </c>
      <c r="D98" s="11" t="s">
        <v>73</v>
      </c>
      <c r="E98" s="11" t="s">
        <v>516</v>
      </c>
      <c r="F98" s="11" t="s">
        <v>133</v>
      </c>
      <c r="G98" s="11" t="s">
        <v>517</v>
      </c>
      <c r="H98" s="11"/>
      <c r="I98" s="11" t="s">
        <v>514</v>
      </c>
      <c r="J98" s="8" t="s">
        <v>38</v>
      </c>
      <c r="K98" s="12" t="s">
        <v>43</v>
      </c>
      <c r="L98" s="8" t="s">
        <v>3</v>
      </c>
      <c r="M98" s="11" t="s">
        <v>438</v>
      </c>
      <c r="N98" s="13" t="s">
        <v>11</v>
      </c>
      <c r="O98" s="14"/>
      <c r="P98" s="14"/>
      <c r="Q98" s="14"/>
      <c r="R98" s="13"/>
    </row>
    <row r="99" customFormat="false" ht="23.85" hidden="false" customHeight="false" outlineLevel="0" collapsed="false">
      <c r="A99" s="8" t="s">
        <v>518</v>
      </c>
      <c r="B99" s="11" t="s">
        <v>21</v>
      </c>
      <c r="C99" s="11" t="s">
        <v>507</v>
      </c>
      <c r="D99" s="11" t="s">
        <v>73</v>
      </c>
      <c r="E99" s="11" t="s">
        <v>519</v>
      </c>
      <c r="F99" s="11" t="s">
        <v>133</v>
      </c>
      <c r="G99" s="11" t="s">
        <v>520</v>
      </c>
      <c r="H99" s="11"/>
      <c r="I99" s="11" t="s">
        <v>514</v>
      </c>
      <c r="J99" s="8" t="s">
        <v>38</v>
      </c>
      <c r="K99" s="12" t="s">
        <v>43</v>
      </c>
      <c r="L99" s="8" t="s">
        <v>3</v>
      </c>
      <c r="M99" s="11" t="s">
        <v>438</v>
      </c>
      <c r="N99" s="13" t="s">
        <v>11</v>
      </c>
      <c r="O99" s="14"/>
      <c r="P99" s="14"/>
      <c r="Q99" s="14"/>
      <c r="R99" s="13"/>
    </row>
    <row r="100" customFormat="false" ht="23.85" hidden="false" customHeight="false" outlineLevel="0" collapsed="false">
      <c r="A100" s="8" t="s">
        <v>521</v>
      </c>
      <c r="B100" s="11" t="s">
        <v>21</v>
      </c>
      <c r="C100" s="11" t="s">
        <v>507</v>
      </c>
      <c r="D100" s="11" t="s">
        <v>73</v>
      </c>
      <c r="E100" s="11" t="s">
        <v>522</v>
      </c>
      <c r="F100" s="11" t="s">
        <v>133</v>
      </c>
      <c r="G100" s="11" t="s">
        <v>523</v>
      </c>
      <c r="H100" s="11"/>
      <c r="I100" s="11" t="s">
        <v>514</v>
      </c>
      <c r="J100" s="8" t="s">
        <v>38</v>
      </c>
      <c r="K100" s="12" t="s">
        <v>43</v>
      </c>
      <c r="L100" s="8" t="s">
        <v>3</v>
      </c>
      <c r="M100" s="11" t="s">
        <v>438</v>
      </c>
      <c r="N100" s="13" t="s">
        <v>11</v>
      </c>
      <c r="O100" s="14"/>
      <c r="P100" s="14"/>
      <c r="Q100" s="14"/>
      <c r="R100" s="13"/>
    </row>
    <row r="101" customFormat="false" ht="23.85" hidden="false" customHeight="false" outlineLevel="0" collapsed="false">
      <c r="A101" s="8" t="s">
        <v>524</v>
      </c>
      <c r="B101" s="11" t="s">
        <v>21</v>
      </c>
      <c r="C101" s="11" t="s">
        <v>507</v>
      </c>
      <c r="D101" s="11" t="s">
        <v>73</v>
      </c>
      <c r="E101" s="11" t="s">
        <v>525</v>
      </c>
      <c r="F101" s="11" t="s">
        <v>133</v>
      </c>
      <c r="G101" s="11" t="s">
        <v>526</v>
      </c>
      <c r="H101" s="11"/>
      <c r="I101" s="11" t="s">
        <v>514</v>
      </c>
      <c r="J101" s="8" t="s">
        <v>38</v>
      </c>
      <c r="K101" s="12" t="s">
        <v>43</v>
      </c>
      <c r="L101" s="8" t="s">
        <v>3</v>
      </c>
      <c r="M101" s="11" t="s">
        <v>438</v>
      </c>
      <c r="N101" s="13" t="s">
        <v>11</v>
      </c>
      <c r="O101" s="14"/>
      <c r="P101" s="14"/>
      <c r="Q101" s="14"/>
      <c r="R101" s="13"/>
    </row>
    <row r="102" customFormat="false" ht="23.85" hidden="false" customHeight="false" outlineLevel="0" collapsed="false">
      <c r="A102" s="8" t="s">
        <v>527</v>
      </c>
      <c r="B102" s="11" t="s">
        <v>21</v>
      </c>
      <c r="C102" s="11" t="s">
        <v>507</v>
      </c>
      <c r="D102" s="11" t="s">
        <v>73</v>
      </c>
      <c r="E102" s="11" t="s">
        <v>528</v>
      </c>
      <c r="F102" s="11" t="s">
        <v>133</v>
      </c>
      <c r="G102" s="11" t="s">
        <v>529</v>
      </c>
      <c r="H102" s="11" t="s">
        <v>530</v>
      </c>
      <c r="I102" s="11" t="s">
        <v>531</v>
      </c>
      <c r="J102" s="8" t="s">
        <v>36</v>
      </c>
      <c r="K102" s="12" t="s">
        <v>43</v>
      </c>
      <c r="L102" s="8" t="s">
        <v>4</v>
      </c>
      <c r="M102" s="11"/>
      <c r="N102" s="13" t="s">
        <v>11</v>
      </c>
      <c r="O102" s="14"/>
      <c r="P102" s="14"/>
      <c r="Q102" s="14"/>
      <c r="R102" s="13"/>
    </row>
    <row r="103" customFormat="false" ht="23.85" hidden="false" customHeight="false" outlineLevel="0" collapsed="false">
      <c r="A103" s="8" t="s">
        <v>532</v>
      </c>
      <c r="B103" s="11" t="s">
        <v>21</v>
      </c>
      <c r="C103" s="11" t="s">
        <v>507</v>
      </c>
      <c r="D103" s="11" t="s">
        <v>73</v>
      </c>
      <c r="E103" s="11" t="s">
        <v>533</v>
      </c>
      <c r="F103" s="11" t="s">
        <v>133</v>
      </c>
      <c r="G103" s="11" t="s">
        <v>534</v>
      </c>
      <c r="H103" s="11"/>
      <c r="I103" s="11" t="s">
        <v>535</v>
      </c>
      <c r="J103" s="8" t="s">
        <v>34</v>
      </c>
      <c r="K103" s="12" t="s">
        <v>45</v>
      </c>
      <c r="L103" s="8" t="s">
        <v>4</v>
      </c>
      <c r="M103" s="11"/>
      <c r="N103" s="13" t="s">
        <v>11</v>
      </c>
      <c r="O103" s="14"/>
      <c r="P103" s="14"/>
      <c r="Q103" s="14"/>
      <c r="R103" s="13"/>
    </row>
    <row r="104" customFormat="false" ht="23.85" hidden="false" customHeight="false" outlineLevel="0" collapsed="false">
      <c r="A104" s="8" t="s">
        <v>536</v>
      </c>
      <c r="B104" s="11" t="s">
        <v>21</v>
      </c>
      <c r="C104" s="11" t="s">
        <v>537</v>
      </c>
      <c r="D104" s="11" t="s">
        <v>73</v>
      </c>
      <c r="E104" s="11" t="s">
        <v>538</v>
      </c>
      <c r="F104" s="11" t="s">
        <v>133</v>
      </c>
      <c r="G104" s="11" t="s">
        <v>539</v>
      </c>
      <c r="H104" s="11"/>
      <c r="I104" s="11" t="s">
        <v>540</v>
      </c>
      <c r="J104" s="8" t="s">
        <v>41</v>
      </c>
      <c r="K104" s="12" t="s">
        <v>44</v>
      </c>
      <c r="L104" s="8" t="s">
        <v>3</v>
      </c>
      <c r="M104" s="11" t="s">
        <v>438</v>
      </c>
      <c r="N104" s="13" t="s">
        <v>11</v>
      </c>
      <c r="O104" s="14"/>
      <c r="P104" s="14"/>
      <c r="Q104" s="14"/>
      <c r="R104" s="13"/>
    </row>
    <row r="105" customFormat="false" ht="23.85" hidden="false" customHeight="false" outlineLevel="0" collapsed="false">
      <c r="A105" s="8" t="s">
        <v>541</v>
      </c>
      <c r="B105" s="11" t="s">
        <v>21</v>
      </c>
      <c r="C105" s="11" t="s">
        <v>537</v>
      </c>
      <c r="D105" s="11" t="s">
        <v>73</v>
      </c>
      <c r="E105" s="11" t="s">
        <v>542</v>
      </c>
      <c r="F105" s="11" t="s">
        <v>133</v>
      </c>
      <c r="G105" s="11" t="s">
        <v>543</v>
      </c>
      <c r="H105" s="11"/>
      <c r="I105" s="11" t="s">
        <v>544</v>
      </c>
      <c r="J105" s="8" t="s">
        <v>38</v>
      </c>
      <c r="K105" s="12" t="s">
        <v>43</v>
      </c>
      <c r="L105" s="8" t="s">
        <v>3</v>
      </c>
      <c r="M105" s="11" t="s">
        <v>545</v>
      </c>
      <c r="N105" s="13" t="s">
        <v>11</v>
      </c>
      <c r="O105" s="14"/>
      <c r="P105" s="14"/>
      <c r="Q105" s="14"/>
      <c r="R105" s="13"/>
    </row>
    <row r="106" customFormat="false" ht="23.85" hidden="false" customHeight="false" outlineLevel="0" collapsed="false">
      <c r="A106" s="8" t="s">
        <v>546</v>
      </c>
      <c r="B106" s="11" t="s">
        <v>21</v>
      </c>
      <c r="C106" s="11" t="s">
        <v>547</v>
      </c>
      <c r="D106" s="11" t="s">
        <v>73</v>
      </c>
      <c r="E106" s="11" t="s">
        <v>548</v>
      </c>
      <c r="F106" s="11" t="s">
        <v>133</v>
      </c>
      <c r="G106" s="11" t="s">
        <v>549</v>
      </c>
      <c r="H106" s="11"/>
      <c r="I106" s="11" t="s">
        <v>550</v>
      </c>
      <c r="J106" s="8" t="s">
        <v>38</v>
      </c>
      <c r="K106" s="12" t="s">
        <v>43</v>
      </c>
      <c r="L106" s="8" t="s">
        <v>3</v>
      </c>
      <c r="M106" s="11" t="s">
        <v>438</v>
      </c>
      <c r="N106" s="13" t="s">
        <v>11</v>
      </c>
      <c r="O106" s="14"/>
      <c r="P106" s="14"/>
      <c r="Q106" s="14"/>
      <c r="R106" s="13"/>
    </row>
    <row r="107" customFormat="false" ht="23.85" hidden="false" customHeight="false" outlineLevel="0" collapsed="false">
      <c r="A107" s="8" t="s">
        <v>551</v>
      </c>
      <c r="B107" s="11" t="s">
        <v>21</v>
      </c>
      <c r="C107" s="11" t="s">
        <v>547</v>
      </c>
      <c r="D107" s="11" t="s">
        <v>73</v>
      </c>
      <c r="E107" s="11" t="s">
        <v>552</v>
      </c>
      <c r="F107" s="11" t="s">
        <v>133</v>
      </c>
      <c r="G107" s="11" t="s">
        <v>553</v>
      </c>
      <c r="H107" s="11"/>
      <c r="I107" s="11" t="s">
        <v>554</v>
      </c>
      <c r="J107" s="8" t="s">
        <v>41</v>
      </c>
      <c r="K107" s="12" t="s">
        <v>44</v>
      </c>
      <c r="L107" s="8" t="s">
        <v>3</v>
      </c>
      <c r="M107" s="11" t="s">
        <v>438</v>
      </c>
      <c r="N107" s="13" t="s">
        <v>11</v>
      </c>
      <c r="O107" s="14"/>
      <c r="P107" s="14"/>
      <c r="Q107" s="14"/>
      <c r="R107" s="13"/>
    </row>
    <row r="108" customFormat="false" ht="23.85" hidden="false" customHeight="false" outlineLevel="0" collapsed="false">
      <c r="A108" s="8" t="s">
        <v>555</v>
      </c>
      <c r="B108" s="11" t="s">
        <v>21</v>
      </c>
      <c r="C108" s="11" t="s">
        <v>547</v>
      </c>
      <c r="D108" s="11" t="s">
        <v>73</v>
      </c>
      <c r="E108" s="11" t="s">
        <v>556</v>
      </c>
      <c r="F108" s="11" t="s">
        <v>133</v>
      </c>
      <c r="G108" s="11" t="s">
        <v>557</v>
      </c>
      <c r="H108" s="11"/>
      <c r="I108" s="11" t="s">
        <v>558</v>
      </c>
      <c r="J108" s="8" t="s">
        <v>38</v>
      </c>
      <c r="K108" s="12" t="s">
        <v>43</v>
      </c>
      <c r="L108" s="8" t="s">
        <v>3</v>
      </c>
      <c r="M108" s="11" t="s">
        <v>438</v>
      </c>
      <c r="N108" s="13" t="s">
        <v>11</v>
      </c>
      <c r="O108" s="14"/>
      <c r="P108" s="14"/>
      <c r="Q108" s="14"/>
      <c r="R108" s="13"/>
    </row>
    <row r="109" customFormat="false" ht="23.85" hidden="false" customHeight="false" outlineLevel="0" collapsed="false">
      <c r="A109" s="8" t="s">
        <v>559</v>
      </c>
      <c r="B109" s="11" t="s">
        <v>21</v>
      </c>
      <c r="C109" s="11" t="s">
        <v>547</v>
      </c>
      <c r="D109" s="11" t="s">
        <v>73</v>
      </c>
      <c r="E109" s="11" t="s">
        <v>560</v>
      </c>
      <c r="F109" s="11" t="s">
        <v>133</v>
      </c>
      <c r="G109" s="11" t="s">
        <v>561</v>
      </c>
      <c r="H109" s="11"/>
      <c r="I109" s="11" t="s">
        <v>562</v>
      </c>
      <c r="J109" s="8" t="s">
        <v>38</v>
      </c>
      <c r="K109" s="12" t="s">
        <v>44</v>
      </c>
      <c r="L109" s="8" t="s">
        <v>4</v>
      </c>
      <c r="M109" s="11"/>
      <c r="N109" s="13" t="s">
        <v>11</v>
      </c>
      <c r="O109" s="14"/>
      <c r="P109" s="14"/>
      <c r="Q109" s="14"/>
      <c r="R109" s="13"/>
    </row>
    <row r="110" customFormat="false" ht="23.85" hidden="false" customHeight="false" outlineLevel="0" collapsed="false">
      <c r="A110" s="8" t="s">
        <v>563</v>
      </c>
      <c r="B110" s="11" t="s">
        <v>21</v>
      </c>
      <c r="C110" s="11" t="s">
        <v>547</v>
      </c>
      <c r="D110" s="11" t="s">
        <v>73</v>
      </c>
      <c r="E110" s="11" t="s">
        <v>564</v>
      </c>
      <c r="F110" s="11" t="s">
        <v>133</v>
      </c>
      <c r="G110" s="11" t="s">
        <v>565</v>
      </c>
      <c r="H110" s="11"/>
      <c r="I110" s="11" t="s">
        <v>566</v>
      </c>
      <c r="J110" s="8" t="s">
        <v>37</v>
      </c>
      <c r="K110" s="12" t="s">
        <v>45</v>
      </c>
      <c r="L110" s="8" t="s">
        <v>4</v>
      </c>
      <c r="M110" s="11"/>
      <c r="N110" s="13" t="s">
        <v>11</v>
      </c>
      <c r="O110" s="14"/>
      <c r="P110" s="14"/>
      <c r="Q110" s="14"/>
      <c r="R110" s="13"/>
    </row>
    <row r="111" customFormat="false" ht="15" hidden="false" customHeight="false" outlineLevel="0" collapsed="false">
      <c r="A111" s="8" t="s">
        <v>567</v>
      </c>
      <c r="B111" s="11" t="s">
        <v>22</v>
      </c>
      <c r="C111" s="11" t="s">
        <v>568</v>
      </c>
      <c r="D111" s="11" t="s">
        <v>569</v>
      </c>
      <c r="E111" s="11" t="s">
        <v>570</v>
      </c>
      <c r="F111" s="11" t="s">
        <v>117</v>
      </c>
      <c r="G111" s="11" t="s">
        <v>571</v>
      </c>
      <c r="H111" s="11"/>
      <c r="I111" s="11" t="s">
        <v>572</v>
      </c>
      <c r="J111" s="8" t="s">
        <v>38</v>
      </c>
      <c r="K111" s="12" t="s">
        <v>43</v>
      </c>
      <c r="L111" s="8" t="s">
        <v>3</v>
      </c>
      <c r="M111" s="11" t="s">
        <v>573</v>
      </c>
      <c r="N111" s="13" t="s">
        <v>11</v>
      </c>
      <c r="O111" s="14"/>
      <c r="P111" s="14"/>
      <c r="Q111" s="14"/>
      <c r="R111" s="13"/>
    </row>
    <row r="112" customFormat="false" ht="23.85" hidden="false" customHeight="false" outlineLevel="0" collapsed="false">
      <c r="A112" s="8" t="s">
        <v>574</v>
      </c>
      <c r="B112" s="11" t="s">
        <v>22</v>
      </c>
      <c r="C112" s="11" t="s">
        <v>575</v>
      </c>
      <c r="D112" s="11" t="s">
        <v>569</v>
      </c>
      <c r="E112" s="11" t="s">
        <v>576</v>
      </c>
      <c r="F112" s="11" t="s">
        <v>117</v>
      </c>
      <c r="G112" s="11" t="s">
        <v>577</v>
      </c>
      <c r="H112" s="11"/>
      <c r="I112" s="11" t="s">
        <v>578</v>
      </c>
      <c r="J112" s="8" t="s">
        <v>38</v>
      </c>
      <c r="K112" s="12" t="s">
        <v>43</v>
      </c>
      <c r="L112" s="8" t="s">
        <v>3</v>
      </c>
      <c r="M112" s="11" t="s">
        <v>573</v>
      </c>
      <c r="N112" s="13" t="s">
        <v>11</v>
      </c>
      <c r="O112" s="14"/>
      <c r="P112" s="14"/>
      <c r="Q112" s="14"/>
      <c r="R112" s="13"/>
    </row>
    <row r="113" customFormat="false" ht="15" hidden="false" customHeight="false" outlineLevel="0" collapsed="false">
      <c r="A113" s="8" t="s">
        <v>579</v>
      </c>
      <c r="B113" s="11" t="s">
        <v>22</v>
      </c>
      <c r="C113" s="11" t="s">
        <v>568</v>
      </c>
      <c r="D113" s="11" t="s">
        <v>580</v>
      </c>
      <c r="E113" s="11" t="s">
        <v>570</v>
      </c>
      <c r="F113" s="11" t="s">
        <v>117</v>
      </c>
      <c r="G113" s="11" t="s">
        <v>581</v>
      </c>
      <c r="H113" s="11"/>
      <c r="I113" s="11" t="s">
        <v>572</v>
      </c>
      <c r="J113" s="8" t="s">
        <v>38</v>
      </c>
      <c r="K113" s="12" t="s">
        <v>43</v>
      </c>
      <c r="L113" s="8" t="s">
        <v>3</v>
      </c>
      <c r="M113" s="11" t="s">
        <v>573</v>
      </c>
      <c r="N113" s="13" t="s">
        <v>11</v>
      </c>
      <c r="O113" s="14"/>
      <c r="P113" s="14"/>
      <c r="Q113" s="14"/>
      <c r="R113" s="13"/>
    </row>
    <row r="114" customFormat="false" ht="23.85" hidden="false" customHeight="false" outlineLevel="0" collapsed="false">
      <c r="A114" s="8" t="s">
        <v>582</v>
      </c>
      <c r="B114" s="11" t="s">
        <v>22</v>
      </c>
      <c r="C114" s="11" t="s">
        <v>575</v>
      </c>
      <c r="D114" s="11" t="s">
        <v>580</v>
      </c>
      <c r="E114" s="11" t="s">
        <v>576</v>
      </c>
      <c r="F114" s="11" t="s">
        <v>117</v>
      </c>
      <c r="G114" s="11" t="s">
        <v>583</v>
      </c>
      <c r="H114" s="11"/>
      <c r="I114" s="11" t="s">
        <v>578</v>
      </c>
      <c r="J114" s="8" t="s">
        <v>38</v>
      </c>
      <c r="K114" s="12" t="s">
        <v>43</v>
      </c>
      <c r="L114" s="8" t="s">
        <v>3</v>
      </c>
      <c r="M114" s="11" t="s">
        <v>573</v>
      </c>
      <c r="N114" s="13" t="s">
        <v>11</v>
      </c>
      <c r="O114" s="14"/>
      <c r="P114" s="14"/>
      <c r="Q114" s="14"/>
      <c r="R114" s="13"/>
    </row>
    <row r="115" customFormat="false" ht="15" hidden="false" customHeight="false" outlineLevel="0" collapsed="false">
      <c r="A115" s="8" t="s">
        <v>584</v>
      </c>
      <c r="B115" s="11" t="s">
        <v>22</v>
      </c>
      <c r="C115" s="11" t="s">
        <v>568</v>
      </c>
      <c r="D115" s="11" t="s">
        <v>585</v>
      </c>
      <c r="E115" s="11" t="s">
        <v>570</v>
      </c>
      <c r="F115" s="11" t="s">
        <v>117</v>
      </c>
      <c r="G115" s="11" t="s">
        <v>586</v>
      </c>
      <c r="H115" s="11"/>
      <c r="I115" s="11" t="s">
        <v>572</v>
      </c>
      <c r="J115" s="8" t="s">
        <v>38</v>
      </c>
      <c r="K115" s="12" t="s">
        <v>43</v>
      </c>
      <c r="L115" s="8" t="s">
        <v>3</v>
      </c>
      <c r="M115" s="11" t="s">
        <v>573</v>
      </c>
      <c r="N115" s="13" t="s">
        <v>11</v>
      </c>
      <c r="O115" s="14"/>
      <c r="P115" s="14"/>
      <c r="Q115" s="14"/>
      <c r="R115" s="13"/>
    </row>
    <row r="116" customFormat="false" ht="23.85" hidden="false" customHeight="false" outlineLevel="0" collapsed="false">
      <c r="A116" s="8" t="s">
        <v>587</v>
      </c>
      <c r="B116" s="11" t="s">
        <v>22</v>
      </c>
      <c r="C116" s="11" t="s">
        <v>575</v>
      </c>
      <c r="D116" s="11" t="s">
        <v>585</v>
      </c>
      <c r="E116" s="11" t="s">
        <v>576</v>
      </c>
      <c r="F116" s="11" t="s">
        <v>117</v>
      </c>
      <c r="G116" s="11" t="s">
        <v>588</v>
      </c>
      <c r="H116" s="11"/>
      <c r="I116" s="11" t="s">
        <v>578</v>
      </c>
      <c r="J116" s="8" t="s">
        <v>38</v>
      </c>
      <c r="K116" s="12" t="s">
        <v>43</v>
      </c>
      <c r="L116" s="8" t="s">
        <v>3</v>
      </c>
      <c r="M116" s="11" t="s">
        <v>573</v>
      </c>
      <c r="N116" s="13" t="s">
        <v>11</v>
      </c>
      <c r="O116" s="14"/>
      <c r="P116" s="14"/>
      <c r="Q116" s="14"/>
      <c r="R116" s="13"/>
    </row>
    <row r="117" customFormat="false" ht="23.85" hidden="false" customHeight="false" outlineLevel="0" collapsed="false">
      <c r="A117" s="8" t="s">
        <v>589</v>
      </c>
      <c r="B117" s="11" t="s">
        <v>22</v>
      </c>
      <c r="C117" s="11" t="s">
        <v>568</v>
      </c>
      <c r="D117" s="11" t="s">
        <v>590</v>
      </c>
      <c r="E117" s="11" t="s">
        <v>570</v>
      </c>
      <c r="F117" s="11" t="s">
        <v>117</v>
      </c>
      <c r="G117" s="11" t="s">
        <v>591</v>
      </c>
      <c r="H117" s="11"/>
      <c r="I117" s="11" t="s">
        <v>572</v>
      </c>
      <c r="J117" s="8" t="s">
        <v>38</v>
      </c>
      <c r="K117" s="12" t="s">
        <v>43</v>
      </c>
      <c r="L117" s="8" t="s">
        <v>3</v>
      </c>
      <c r="M117" s="11" t="s">
        <v>573</v>
      </c>
      <c r="N117" s="13" t="s">
        <v>11</v>
      </c>
      <c r="O117" s="14"/>
      <c r="P117" s="14"/>
      <c r="Q117" s="14"/>
      <c r="R117" s="13"/>
    </row>
    <row r="118" customFormat="false" ht="23.85" hidden="false" customHeight="false" outlineLevel="0" collapsed="false">
      <c r="A118" s="8" t="s">
        <v>592</v>
      </c>
      <c r="B118" s="11" t="s">
        <v>22</v>
      </c>
      <c r="C118" s="11" t="s">
        <v>575</v>
      </c>
      <c r="D118" s="11" t="s">
        <v>590</v>
      </c>
      <c r="E118" s="11" t="s">
        <v>576</v>
      </c>
      <c r="F118" s="11" t="s">
        <v>117</v>
      </c>
      <c r="G118" s="11" t="s">
        <v>593</v>
      </c>
      <c r="H118" s="11"/>
      <c r="I118" s="11" t="s">
        <v>578</v>
      </c>
      <c r="J118" s="8" t="s">
        <v>38</v>
      </c>
      <c r="K118" s="12" t="s">
        <v>43</v>
      </c>
      <c r="L118" s="8" t="s">
        <v>3</v>
      </c>
      <c r="M118" s="11" t="s">
        <v>573</v>
      </c>
      <c r="N118" s="13" t="s">
        <v>11</v>
      </c>
      <c r="O118" s="14"/>
      <c r="P118" s="14"/>
      <c r="Q118" s="14"/>
      <c r="R118" s="13"/>
    </row>
    <row r="119" customFormat="false" ht="23.85" hidden="false" customHeight="false" outlineLevel="0" collapsed="false">
      <c r="A119" s="8" t="s">
        <v>594</v>
      </c>
      <c r="B119" s="11" t="s">
        <v>22</v>
      </c>
      <c r="C119" s="11" t="s">
        <v>568</v>
      </c>
      <c r="D119" s="11" t="s">
        <v>595</v>
      </c>
      <c r="E119" s="11" t="s">
        <v>570</v>
      </c>
      <c r="F119" s="11" t="s">
        <v>117</v>
      </c>
      <c r="G119" s="11" t="s">
        <v>596</v>
      </c>
      <c r="H119" s="11"/>
      <c r="I119" s="11" t="s">
        <v>572</v>
      </c>
      <c r="J119" s="8" t="s">
        <v>38</v>
      </c>
      <c r="K119" s="12" t="s">
        <v>43</v>
      </c>
      <c r="L119" s="8" t="s">
        <v>3</v>
      </c>
      <c r="M119" s="11" t="s">
        <v>573</v>
      </c>
      <c r="N119" s="13" t="s">
        <v>11</v>
      </c>
      <c r="O119" s="14"/>
      <c r="P119" s="14"/>
      <c r="Q119" s="14"/>
      <c r="R119" s="13"/>
    </row>
    <row r="120" customFormat="false" ht="23.85" hidden="false" customHeight="false" outlineLevel="0" collapsed="false">
      <c r="A120" s="8" t="s">
        <v>597</v>
      </c>
      <c r="B120" s="11" t="s">
        <v>22</v>
      </c>
      <c r="C120" s="11" t="s">
        <v>575</v>
      </c>
      <c r="D120" s="11" t="s">
        <v>595</v>
      </c>
      <c r="E120" s="11" t="s">
        <v>576</v>
      </c>
      <c r="F120" s="11" t="s">
        <v>117</v>
      </c>
      <c r="G120" s="11" t="s">
        <v>598</v>
      </c>
      <c r="H120" s="11"/>
      <c r="I120" s="11" t="s">
        <v>578</v>
      </c>
      <c r="J120" s="8" t="s">
        <v>38</v>
      </c>
      <c r="K120" s="12" t="s">
        <v>43</v>
      </c>
      <c r="L120" s="8" t="s">
        <v>3</v>
      </c>
      <c r="M120" s="11" t="s">
        <v>573</v>
      </c>
      <c r="N120" s="13" t="s">
        <v>11</v>
      </c>
      <c r="O120" s="14"/>
      <c r="P120" s="14"/>
      <c r="Q120" s="14"/>
      <c r="R120" s="13"/>
    </row>
    <row r="121" customFormat="false" ht="15" hidden="false" customHeight="false" outlineLevel="0" collapsed="false">
      <c r="A121" s="8" t="s">
        <v>599</v>
      </c>
      <c r="B121" s="11" t="s">
        <v>22</v>
      </c>
      <c r="C121" s="11" t="s">
        <v>568</v>
      </c>
      <c r="D121" s="11" t="s">
        <v>600</v>
      </c>
      <c r="E121" s="11" t="s">
        <v>570</v>
      </c>
      <c r="F121" s="11" t="s">
        <v>117</v>
      </c>
      <c r="G121" s="11" t="s">
        <v>601</v>
      </c>
      <c r="H121" s="11"/>
      <c r="I121" s="11" t="s">
        <v>572</v>
      </c>
      <c r="J121" s="8" t="s">
        <v>38</v>
      </c>
      <c r="K121" s="12" t="s">
        <v>43</v>
      </c>
      <c r="L121" s="8" t="s">
        <v>3</v>
      </c>
      <c r="M121" s="11" t="s">
        <v>573</v>
      </c>
      <c r="N121" s="13" t="s">
        <v>11</v>
      </c>
      <c r="O121" s="14"/>
      <c r="P121" s="14"/>
      <c r="Q121" s="14"/>
      <c r="R121" s="13"/>
    </row>
    <row r="122" customFormat="false" ht="23.85" hidden="false" customHeight="false" outlineLevel="0" collapsed="false">
      <c r="A122" s="8" t="s">
        <v>602</v>
      </c>
      <c r="B122" s="11" t="s">
        <v>22</v>
      </c>
      <c r="C122" s="11" t="s">
        <v>575</v>
      </c>
      <c r="D122" s="11" t="s">
        <v>600</v>
      </c>
      <c r="E122" s="11" t="s">
        <v>576</v>
      </c>
      <c r="F122" s="11" t="s">
        <v>117</v>
      </c>
      <c r="G122" s="11" t="s">
        <v>603</v>
      </c>
      <c r="H122" s="11"/>
      <c r="I122" s="11" t="s">
        <v>578</v>
      </c>
      <c r="J122" s="8" t="s">
        <v>38</v>
      </c>
      <c r="K122" s="12" t="s">
        <v>43</v>
      </c>
      <c r="L122" s="8" t="s">
        <v>3</v>
      </c>
      <c r="M122" s="11" t="s">
        <v>573</v>
      </c>
      <c r="N122" s="13" t="s">
        <v>11</v>
      </c>
      <c r="O122" s="14"/>
      <c r="P122" s="14"/>
      <c r="Q122" s="14"/>
      <c r="R122" s="13"/>
    </row>
    <row r="123" customFormat="false" ht="15" hidden="false" customHeight="false" outlineLevel="0" collapsed="false">
      <c r="A123" s="8" t="s">
        <v>604</v>
      </c>
      <c r="B123" s="11" t="s">
        <v>22</v>
      </c>
      <c r="C123" s="11" t="s">
        <v>568</v>
      </c>
      <c r="D123" s="11" t="s">
        <v>605</v>
      </c>
      <c r="E123" s="11" t="s">
        <v>570</v>
      </c>
      <c r="F123" s="11" t="s">
        <v>117</v>
      </c>
      <c r="G123" s="11" t="s">
        <v>606</v>
      </c>
      <c r="H123" s="11"/>
      <c r="I123" s="11" t="s">
        <v>572</v>
      </c>
      <c r="J123" s="8" t="s">
        <v>38</v>
      </c>
      <c r="K123" s="12" t="s">
        <v>43</v>
      </c>
      <c r="L123" s="8" t="s">
        <v>3</v>
      </c>
      <c r="M123" s="11" t="s">
        <v>573</v>
      </c>
      <c r="N123" s="13" t="s">
        <v>11</v>
      </c>
      <c r="O123" s="14"/>
      <c r="P123" s="14"/>
      <c r="Q123" s="14"/>
      <c r="R123" s="13"/>
    </row>
    <row r="124" customFormat="false" ht="23.85" hidden="false" customHeight="false" outlineLevel="0" collapsed="false">
      <c r="A124" s="8" t="s">
        <v>607</v>
      </c>
      <c r="B124" s="11" t="s">
        <v>22</v>
      </c>
      <c r="C124" s="11" t="s">
        <v>575</v>
      </c>
      <c r="D124" s="11" t="s">
        <v>605</v>
      </c>
      <c r="E124" s="11" t="s">
        <v>576</v>
      </c>
      <c r="F124" s="11" t="s">
        <v>117</v>
      </c>
      <c r="G124" s="11" t="s">
        <v>608</v>
      </c>
      <c r="H124" s="11"/>
      <c r="I124" s="11" t="s">
        <v>578</v>
      </c>
      <c r="J124" s="8" t="s">
        <v>38</v>
      </c>
      <c r="K124" s="12" t="s">
        <v>43</v>
      </c>
      <c r="L124" s="8" t="s">
        <v>3</v>
      </c>
      <c r="M124" s="11" t="s">
        <v>573</v>
      </c>
      <c r="N124" s="13" t="s">
        <v>11</v>
      </c>
      <c r="O124" s="14"/>
      <c r="P124" s="14"/>
      <c r="Q124" s="14"/>
      <c r="R124" s="13"/>
    </row>
    <row r="125" customFormat="false" ht="23.85" hidden="false" customHeight="false" outlineLevel="0" collapsed="false">
      <c r="A125" s="8" t="s">
        <v>609</v>
      </c>
      <c r="B125" s="11" t="s">
        <v>22</v>
      </c>
      <c r="C125" s="11" t="s">
        <v>568</v>
      </c>
      <c r="D125" s="11" t="s">
        <v>610</v>
      </c>
      <c r="E125" s="11" t="s">
        <v>570</v>
      </c>
      <c r="F125" s="11" t="s">
        <v>117</v>
      </c>
      <c r="G125" s="11" t="s">
        <v>611</v>
      </c>
      <c r="H125" s="11"/>
      <c r="I125" s="11" t="s">
        <v>572</v>
      </c>
      <c r="J125" s="8" t="s">
        <v>38</v>
      </c>
      <c r="K125" s="12" t="s">
        <v>43</v>
      </c>
      <c r="L125" s="8" t="s">
        <v>3</v>
      </c>
      <c r="M125" s="11" t="s">
        <v>573</v>
      </c>
      <c r="N125" s="13" t="s">
        <v>11</v>
      </c>
      <c r="O125" s="14"/>
      <c r="P125" s="14"/>
      <c r="Q125" s="14"/>
      <c r="R125" s="13"/>
    </row>
    <row r="126" customFormat="false" ht="23.85" hidden="false" customHeight="false" outlineLevel="0" collapsed="false">
      <c r="A126" s="8" t="s">
        <v>612</v>
      </c>
      <c r="B126" s="11" t="s">
        <v>22</v>
      </c>
      <c r="C126" s="11" t="s">
        <v>575</v>
      </c>
      <c r="D126" s="11" t="s">
        <v>610</v>
      </c>
      <c r="E126" s="11" t="s">
        <v>576</v>
      </c>
      <c r="F126" s="11" t="s">
        <v>117</v>
      </c>
      <c r="G126" s="11" t="s">
        <v>613</v>
      </c>
      <c r="H126" s="11"/>
      <c r="I126" s="11" t="s">
        <v>578</v>
      </c>
      <c r="J126" s="8" t="s">
        <v>38</v>
      </c>
      <c r="K126" s="12" t="s">
        <v>43</v>
      </c>
      <c r="L126" s="8" t="s">
        <v>3</v>
      </c>
      <c r="M126" s="11" t="s">
        <v>573</v>
      </c>
      <c r="N126" s="13" t="s">
        <v>11</v>
      </c>
      <c r="O126" s="14"/>
      <c r="P126" s="14"/>
      <c r="Q126" s="14"/>
      <c r="R126" s="13"/>
    </row>
    <row r="127" customFormat="false" ht="23.85" hidden="false" customHeight="false" outlineLevel="0" collapsed="false">
      <c r="A127" s="8" t="s">
        <v>614</v>
      </c>
      <c r="B127" s="11" t="s">
        <v>22</v>
      </c>
      <c r="C127" s="11" t="s">
        <v>568</v>
      </c>
      <c r="D127" s="11" t="s">
        <v>615</v>
      </c>
      <c r="E127" s="11" t="s">
        <v>570</v>
      </c>
      <c r="F127" s="11" t="s">
        <v>117</v>
      </c>
      <c r="G127" s="11" t="s">
        <v>616</v>
      </c>
      <c r="H127" s="11"/>
      <c r="I127" s="11" t="s">
        <v>572</v>
      </c>
      <c r="J127" s="8" t="s">
        <v>38</v>
      </c>
      <c r="K127" s="12" t="s">
        <v>43</v>
      </c>
      <c r="L127" s="8" t="s">
        <v>3</v>
      </c>
      <c r="M127" s="11" t="s">
        <v>573</v>
      </c>
      <c r="N127" s="13" t="s">
        <v>11</v>
      </c>
      <c r="O127" s="14"/>
      <c r="P127" s="14"/>
      <c r="Q127" s="14"/>
      <c r="R127" s="13"/>
    </row>
    <row r="128" customFormat="false" ht="23.85" hidden="false" customHeight="false" outlineLevel="0" collapsed="false">
      <c r="A128" s="8" t="s">
        <v>617</v>
      </c>
      <c r="B128" s="11" t="s">
        <v>22</v>
      </c>
      <c r="C128" s="11" t="s">
        <v>575</v>
      </c>
      <c r="D128" s="11" t="s">
        <v>615</v>
      </c>
      <c r="E128" s="11" t="s">
        <v>576</v>
      </c>
      <c r="F128" s="11" t="s">
        <v>117</v>
      </c>
      <c r="G128" s="11" t="s">
        <v>618</v>
      </c>
      <c r="H128" s="11"/>
      <c r="I128" s="11" t="s">
        <v>578</v>
      </c>
      <c r="J128" s="8" t="s">
        <v>38</v>
      </c>
      <c r="K128" s="12" t="s">
        <v>43</v>
      </c>
      <c r="L128" s="8" t="s">
        <v>3</v>
      </c>
      <c r="M128" s="11" t="s">
        <v>573</v>
      </c>
      <c r="N128" s="13" t="s">
        <v>11</v>
      </c>
      <c r="O128" s="14"/>
      <c r="P128" s="14"/>
      <c r="Q128" s="14"/>
      <c r="R128" s="13"/>
    </row>
    <row r="129" customFormat="false" ht="15" hidden="false" customHeight="false" outlineLevel="0" collapsed="false">
      <c r="A129" s="8" t="s">
        <v>619</v>
      </c>
      <c r="B129" s="11" t="s">
        <v>22</v>
      </c>
      <c r="C129" s="11" t="s">
        <v>568</v>
      </c>
      <c r="D129" s="11" t="s">
        <v>620</v>
      </c>
      <c r="E129" s="11" t="s">
        <v>570</v>
      </c>
      <c r="F129" s="11" t="s">
        <v>117</v>
      </c>
      <c r="G129" s="11" t="s">
        <v>621</v>
      </c>
      <c r="H129" s="11"/>
      <c r="I129" s="11" t="s">
        <v>572</v>
      </c>
      <c r="J129" s="8" t="s">
        <v>38</v>
      </c>
      <c r="K129" s="12" t="s">
        <v>43</v>
      </c>
      <c r="L129" s="8" t="s">
        <v>3</v>
      </c>
      <c r="M129" s="11" t="s">
        <v>573</v>
      </c>
      <c r="N129" s="13" t="s">
        <v>11</v>
      </c>
      <c r="O129" s="14"/>
      <c r="P129" s="14"/>
      <c r="Q129" s="14"/>
      <c r="R129" s="13"/>
    </row>
    <row r="130" customFormat="false" ht="23.85" hidden="false" customHeight="false" outlineLevel="0" collapsed="false">
      <c r="A130" s="8" t="s">
        <v>622</v>
      </c>
      <c r="B130" s="11" t="s">
        <v>22</v>
      </c>
      <c r="C130" s="11" t="s">
        <v>575</v>
      </c>
      <c r="D130" s="11" t="s">
        <v>620</v>
      </c>
      <c r="E130" s="11" t="s">
        <v>576</v>
      </c>
      <c r="F130" s="11" t="s">
        <v>117</v>
      </c>
      <c r="G130" s="11" t="s">
        <v>623</v>
      </c>
      <c r="H130" s="11"/>
      <c r="I130" s="11" t="s">
        <v>578</v>
      </c>
      <c r="J130" s="8" t="s">
        <v>38</v>
      </c>
      <c r="K130" s="12" t="s">
        <v>43</v>
      </c>
      <c r="L130" s="8" t="s">
        <v>3</v>
      </c>
      <c r="M130" s="11" t="s">
        <v>573</v>
      </c>
      <c r="N130" s="13" t="s">
        <v>11</v>
      </c>
      <c r="O130" s="14"/>
      <c r="P130" s="14"/>
      <c r="Q130" s="14"/>
      <c r="R130" s="13"/>
    </row>
    <row r="131" customFormat="false" ht="23.85" hidden="false" customHeight="false" outlineLevel="0" collapsed="false">
      <c r="A131" s="8" t="s">
        <v>624</v>
      </c>
      <c r="B131" s="11" t="s">
        <v>22</v>
      </c>
      <c r="C131" s="11" t="s">
        <v>568</v>
      </c>
      <c r="D131" s="11" t="s">
        <v>625</v>
      </c>
      <c r="E131" s="11" t="s">
        <v>570</v>
      </c>
      <c r="F131" s="11" t="s">
        <v>117</v>
      </c>
      <c r="G131" s="11" t="s">
        <v>626</v>
      </c>
      <c r="H131" s="11"/>
      <c r="I131" s="11" t="s">
        <v>572</v>
      </c>
      <c r="J131" s="8" t="s">
        <v>38</v>
      </c>
      <c r="K131" s="12" t="s">
        <v>43</v>
      </c>
      <c r="L131" s="8" t="s">
        <v>3</v>
      </c>
      <c r="M131" s="11" t="s">
        <v>573</v>
      </c>
      <c r="N131" s="13" t="s">
        <v>11</v>
      </c>
      <c r="O131" s="14"/>
      <c r="P131" s="14"/>
      <c r="Q131" s="14"/>
      <c r="R131" s="13"/>
    </row>
    <row r="132" customFormat="false" ht="23.85" hidden="false" customHeight="false" outlineLevel="0" collapsed="false">
      <c r="A132" s="8" t="s">
        <v>627</v>
      </c>
      <c r="B132" s="11" t="s">
        <v>22</v>
      </c>
      <c r="C132" s="11" t="s">
        <v>575</v>
      </c>
      <c r="D132" s="11" t="s">
        <v>625</v>
      </c>
      <c r="E132" s="11" t="s">
        <v>576</v>
      </c>
      <c r="F132" s="11" t="s">
        <v>117</v>
      </c>
      <c r="G132" s="11" t="s">
        <v>628</v>
      </c>
      <c r="H132" s="11"/>
      <c r="I132" s="11" t="s">
        <v>578</v>
      </c>
      <c r="J132" s="8" t="s">
        <v>38</v>
      </c>
      <c r="K132" s="12" t="s">
        <v>43</v>
      </c>
      <c r="L132" s="8" t="s">
        <v>3</v>
      </c>
      <c r="M132" s="11" t="s">
        <v>573</v>
      </c>
      <c r="N132" s="13" t="s">
        <v>11</v>
      </c>
      <c r="O132" s="14"/>
      <c r="P132" s="14"/>
      <c r="Q132" s="14"/>
      <c r="R132" s="13"/>
    </row>
    <row r="133" customFormat="false" ht="15" hidden="false" customHeight="false" outlineLevel="0" collapsed="false">
      <c r="A133" s="8" t="s">
        <v>629</v>
      </c>
      <c r="B133" s="11" t="s">
        <v>22</v>
      </c>
      <c r="C133" s="11" t="s">
        <v>568</v>
      </c>
      <c r="D133" s="11" t="s">
        <v>630</v>
      </c>
      <c r="E133" s="11" t="s">
        <v>570</v>
      </c>
      <c r="F133" s="11" t="s">
        <v>117</v>
      </c>
      <c r="G133" s="11" t="s">
        <v>631</v>
      </c>
      <c r="H133" s="11"/>
      <c r="I133" s="11" t="s">
        <v>572</v>
      </c>
      <c r="J133" s="8" t="s">
        <v>38</v>
      </c>
      <c r="K133" s="12" t="s">
        <v>43</v>
      </c>
      <c r="L133" s="8" t="s">
        <v>3</v>
      </c>
      <c r="M133" s="11" t="s">
        <v>573</v>
      </c>
      <c r="N133" s="13" t="s">
        <v>11</v>
      </c>
      <c r="O133" s="14"/>
      <c r="P133" s="14"/>
      <c r="Q133" s="14"/>
      <c r="R133" s="13"/>
    </row>
    <row r="134" customFormat="false" ht="23.85" hidden="false" customHeight="false" outlineLevel="0" collapsed="false">
      <c r="A134" s="8" t="s">
        <v>632</v>
      </c>
      <c r="B134" s="11" t="s">
        <v>22</v>
      </c>
      <c r="C134" s="11" t="s">
        <v>575</v>
      </c>
      <c r="D134" s="11" t="s">
        <v>630</v>
      </c>
      <c r="E134" s="11" t="s">
        <v>576</v>
      </c>
      <c r="F134" s="11" t="s">
        <v>117</v>
      </c>
      <c r="G134" s="11" t="s">
        <v>633</v>
      </c>
      <c r="H134" s="11"/>
      <c r="I134" s="11" t="s">
        <v>578</v>
      </c>
      <c r="J134" s="8" t="s">
        <v>38</v>
      </c>
      <c r="K134" s="12" t="s">
        <v>43</v>
      </c>
      <c r="L134" s="8" t="s">
        <v>3</v>
      </c>
      <c r="M134" s="11" t="s">
        <v>573</v>
      </c>
      <c r="N134" s="13" t="s">
        <v>11</v>
      </c>
      <c r="O134" s="14"/>
      <c r="P134" s="14"/>
      <c r="Q134" s="14"/>
      <c r="R134" s="13"/>
    </row>
    <row r="135" customFormat="false" ht="15" hidden="false" customHeight="false" outlineLevel="0" collapsed="false">
      <c r="A135" s="8" t="s">
        <v>634</v>
      </c>
      <c r="B135" s="11" t="s">
        <v>22</v>
      </c>
      <c r="C135" s="11" t="s">
        <v>568</v>
      </c>
      <c r="D135" s="11" t="s">
        <v>635</v>
      </c>
      <c r="E135" s="11" t="s">
        <v>570</v>
      </c>
      <c r="F135" s="11" t="s">
        <v>117</v>
      </c>
      <c r="G135" s="11" t="s">
        <v>636</v>
      </c>
      <c r="H135" s="11"/>
      <c r="I135" s="11" t="s">
        <v>572</v>
      </c>
      <c r="J135" s="8" t="s">
        <v>38</v>
      </c>
      <c r="K135" s="12" t="s">
        <v>43</v>
      </c>
      <c r="L135" s="8" t="s">
        <v>3</v>
      </c>
      <c r="M135" s="11" t="s">
        <v>573</v>
      </c>
      <c r="N135" s="13" t="s">
        <v>11</v>
      </c>
      <c r="O135" s="14"/>
      <c r="P135" s="14"/>
      <c r="Q135" s="14"/>
      <c r="R135" s="13"/>
    </row>
    <row r="136" customFormat="false" ht="23.85" hidden="false" customHeight="false" outlineLevel="0" collapsed="false">
      <c r="A136" s="8" t="s">
        <v>637</v>
      </c>
      <c r="B136" s="11" t="s">
        <v>22</v>
      </c>
      <c r="C136" s="11" t="s">
        <v>575</v>
      </c>
      <c r="D136" s="11" t="s">
        <v>635</v>
      </c>
      <c r="E136" s="11" t="s">
        <v>576</v>
      </c>
      <c r="F136" s="11" t="s">
        <v>117</v>
      </c>
      <c r="G136" s="11" t="s">
        <v>638</v>
      </c>
      <c r="H136" s="11"/>
      <c r="I136" s="11" t="s">
        <v>578</v>
      </c>
      <c r="J136" s="8" t="s">
        <v>38</v>
      </c>
      <c r="K136" s="12" t="s">
        <v>43</v>
      </c>
      <c r="L136" s="8" t="s">
        <v>3</v>
      </c>
      <c r="M136" s="11" t="s">
        <v>573</v>
      </c>
      <c r="N136" s="13" t="s">
        <v>11</v>
      </c>
      <c r="O136" s="14"/>
      <c r="P136" s="14"/>
      <c r="Q136" s="14"/>
      <c r="R136" s="13"/>
    </row>
    <row r="137" customFormat="false" ht="23.85" hidden="false" customHeight="false" outlineLevel="0" collapsed="false">
      <c r="A137" s="8" t="s">
        <v>639</v>
      </c>
      <c r="B137" s="11" t="s">
        <v>23</v>
      </c>
      <c r="C137" s="11" t="s">
        <v>640</v>
      </c>
      <c r="D137" s="11" t="s">
        <v>641</v>
      </c>
      <c r="E137" s="11" t="s">
        <v>642</v>
      </c>
      <c r="F137" s="11" t="s">
        <v>117</v>
      </c>
      <c r="G137" s="11" t="s">
        <v>643</v>
      </c>
      <c r="H137" s="11" t="s">
        <v>644</v>
      </c>
      <c r="I137" s="11" t="s">
        <v>645</v>
      </c>
      <c r="J137" s="8" t="s">
        <v>38</v>
      </c>
      <c r="K137" s="12" t="s">
        <v>43</v>
      </c>
      <c r="L137" s="8" t="s">
        <v>3</v>
      </c>
      <c r="M137" s="11" t="s">
        <v>646</v>
      </c>
      <c r="N137" s="13" t="s">
        <v>11</v>
      </c>
      <c r="O137" s="14"/>
      <c r="P137" s="14"/>
      <c r="Q137" s="14"/>
      <c r="R137" s="13"/>
    </row>
    <row r="138" customFormat="false" ht="23.85" hidden="false" customHeight="false" outlineLevel="0" collapsed="false">
      <c r="A138" s="8" t="s">
        <v>647</v>
      </c>
      <c r="B138" s="11" t="s">
        <v>23</v>
      </c>
      <c r="C138" s="11" t="s">
        <v>648</v>
      </c>
      <c r="D138" s="11" t="s">
        <v>641</v>
      </c>
      <c r="E138" s="11" t="s">
        <v>649</v>
      </c>
      <c r="F138" s="11" t="s">
        <v>117</v>
      </c>
      <c r="G138" s="11" t="s">
        <v>650</v>
      </c>
      <c r="H138" s="11" t="s">
        <v>651</v>
      </c>
      <c r="I138" s="11" t="s">
        <v>652</v>
      </c>
      <c r="J138" s="8" t="s">
        <v>38</v>
      </c>
      <c r="K138" s="12" t="s">
        <v>43</v>
      </c>
      <c r="L138" s="8" t="s">
        <v>3</v>
      </c>
      <c r="M138" s="11" t="s">
        <v>646</v>
      </c>
      <c r="N138" s="13" t="s">
        <v>11</v>
      </c>
      <c r="O138" s="14"/>
      <c r="P138" s="14"/>
      <c r="Q138" s="14"/>
      <c r="R138" s="13"/>
    </row>
    <row r="139" customFormat="false" ht="23.85" hidden="false" customHeight="false" outlineLevel="0" collapsed="false">
      <c r="A139" s="8" t="s">
        <v>653</v>
      </c>
      <c r="B139" s="11" t="s">
        <v>23</v>
      </c>
      <c r="C139" s="11" t="s">
        <v>654</v>
      </c>
      <c r="D139" s="11" t="s">
        <v>641</v>
      </c>
      <c r="E139" s="11" t="s">
        <v>655</v>
      </c>
      <c r="F139" s="11" t="s">
        <v>117</v>
      </c>
      <c r="G139" s="11" t="s">
        <v>656</v>
      </c>
      <c r="H139" s="11" t="s">
        <v>657</v>
      </c>
      <c r="I139" s="11" t="s">
        <v>658</v>
      </c>
      <c r="J139" s="8" t="s">
        <v>38</v>
      </c>
      <c r="K139" s="12" t="s">
        <v>44</v>
      </c>
      <c r="L139" s="8" t="s">
        <v>4</v>
      </c>
      <c r="M139" s="11"/>
      <c r="N139" s="13" t="s">
        <v>11</v>
      </c>
      <c r="O139" s="14"/>
      <c r="P139" s="14"/>
      <c r="Q139" s="14"/>
      <c r="R139" s="13"/>
    </row>
    <row r="140" customFormat="false" ht="23.85" hidden="false" customHeight="false" outlineLevel="0" collapsed="false">
      <c r="A140" s="8" t="s">
        <v>659</v>
      </c>
      <c r="B140" s="11" t="s">
        <v>23</v>
      </c>
      <c r="C140" s="11" t="s">
        <v>660</v>
      </c>
      <c r="D140" s="11" t="s">
        <v>641</v>
      </c>
      <c r="E140" s="11" t="s">
        <v>661</v>
      </c>
      <c r="F140" s="11" t="s">
        <v>117</v>
      </c>
      <c r="G140" s="11" t="s">
        <v>662</v>
      </c>
      <c r="H140" s="11"/>
      <c r="I140" s="11" t="s">
        <v>663</v>
      </c>
      <c r="J140" s="8" t="s">
        <v>34</v>
      </c>
      <c r="K140" s="12" t="s">
        <v>44</v>
      </c>
      <c r="L140" s="8" t="s">
        <v>3</v>
      </c>
      <c r="M140" s="11" t="s">
        <v>646</v>
      </c>
      <c r="N140" s="13" t="s">
        <v>11</v>
      </c>
      <c r="O140" s="14"/>
      <c r="P140" s="14"/>
      <c r="Q140" s="14"/>
      <c r="R140" s="13"/>
    </row>
    <row r="141" customFormat="false" ht="35.05" hidden="false" customHeight="false" outlineLevel="0" collapsed="false">
      <c r="A141" s="8" t="s">
        <v>664</v>
      </c>
      <c r="B141" s="11" t="s">
        <v>23</v>
      </c>
      <c r="C141" s="11" t="s">
        <v>665</v>
      </c>
      <c r="D141" s="11" t="s">
        <v>641</v>
      </c>
      <c r="E141" s="11" t="s">
        <v>666</v>
      </c>
      <c r="F141" s="11" t="s">
        <v>117</v>
      </c>
      <c r="G141" s="11" t="s">
        <v>667</v>
      </c>
      <c r="H141" s="11" t="s">
        <v>668</v>
      </c>
      <c r="I141" s="11" t="s">
        <v>669</v>
      </c>
      <c r="J141" s="8" t="s">
        <v>38</v>
      </c>
      <c r="K141" s="12" t="s">
        <v>43</v>
      </c>
      <c r="L141" s="8" t="s">
        <v>3</v>
      </c>
      <c r="M141" s="11" t="s">
        <v>646</v>
      </c>
      <c r="N141" s="13" t="s">
        <v>11</v>
      </c>
      <c r="O141" s="14"/>
      <c r="P141" s="14"/>
      <c r="Q141" s="14"/>
      <c r="R141" s="13"/>
    </row>
    <row r="142" customFormat="false" ht="23.85" hidden="false" customHeight="false" outlineLevel="0" collapsed="false">
      <c r="A142" s="8" t="s">
        <v>670</v>
      </c>
      <c r="B142" s="11" t="s">
        <v>23</v>
      </c>
      <c r="C142" s="11" t="s">
        <v>665</v>
      </c>
      <c r="D142" s="11" t="s">
        <v>641</v>
      </c>
      <c r="E142" s="11" t="s">
        <v>671</v>
      </c>
      <c r="F142" s="11" t="s">
        <v>117</v>
      </c>
      <c r="G142" s="11" t="s">
        <v>672</v>
      </c>
      <c r="H142" s="11"/>
      <c r="I142" s="11" t="s">
        <v>673</v>
      </c>
      <c r="J142" s="8" t="s">
        <v>37</v>
      </c>
      <c r="K142" s="12" t="s">
        <v>43</v>
      </c>
      <c r="L142" s="8" t="s">
        <v>3</v>
      </c>
      <c r="M142" s="11" t="s">
        <v>646</v>
      </c>
      <c r="N142" s="13" t="s">
        <v>11</v>
      </c>
      <c r="O142" s="14"/>
      <c r="P142" s="14"/>
      <c r="Q142" s="14"/>
      <c r="R142" s="13"/>
    </row>
    <row r="143" customFormat="false" ht="23.85" hidden="false" customHeight="false" outlineLevel="0" collapsed="false">
      <c r="A143" s="8" t="s">
        <v>674</v>
      </c>
      <c r="B143" s="11" t="s">
        <v>23</v>
      </c>
      <c r="C143" s="11" t="s">
        <v>665</v>
      </c>
      <c r="D143" s="11" t="s">
        <v>641</v>
      </c>
      <c r="E143" s="11" t="s">
        <v>675</v>
      </c>
      <c r="F143" s="11" t="s">
        <v>117</v>
      </c>
      <c r="G143" s="11" t="s">
        <v>676</v>
      </c>
      <c r="H143" s="11" t="s">
        <v>677</v>
      </c>
      <c r="I143" s="11" t="s">
        <v>678</v>
      </c>
      <c r="J143" s="8" t="s">
        <v>37</v>
      </c>
      <c r="K143" s="12" t="s">
        <v>44</v>
      </c>
      <c r="L143" s="8" t="s">
        <v>4</v>
      </c>
      <c r="M143" s="11"/>
      <c r="N143" s="13" t="s">
        <v>11</v>
      </c>
      <c r="O143" s="14"/>
      <c r="P143" s="14"/>
      <c r="Q143" s="14"/>
      <c r="R143" s="13"/>
    </row>
    <row r="144" customFormat="false" ht="15" hidden="false" customHeight="false" outlineLevel="0" collapsed="false">
      <c r="A144" s="8" t="s">
        <v>679</v>
      </c>
      <c r="B144" s="11" t="s">
        <v>23</v>
      </c>
      <c r="C144" s="11" t="s">
        <v>665</v>
      </c>
      <c r="D144" s="11" t="s">
        <v>641</v>
      </c>
      <c r="E144" s="11" t="s">
        <v>680</v>
      </c>
      <c r="F144" s="11" t="s">
        <v>117</v>
      </c>
      <c r="G144" s="11" t="s">
        <v>681</v>
      </c>
      <c r="H144" s="11" t="s">
        <v>682</v>
      </c>
      <c r="I144" s="11" t="s">
        <v>683</v>
      </c>
      <c r="J144" s="8" t="s">
        <v>37</v>
      </c>
      <c r="K144" s="12" t="s">
        <v>45</v>
      </c>
      <c r="L144" s="8" t="s">
        <v>4</v>
      </c>
      <c r="M144" s="11"/>
      <c r="N144" s="13" t="s">
        <v>11</v>
      </c>
      <c r="O144" s="14"/>
      <c r="P144" s="14"/>
      <c r="Q144" s="14"/>
      <c r="R144" s="13"/>
    </row>
    <row r="145" customFormat="false" ht="23.85" hidden="false" customHeight="false" outlineLevel="0" collapsed="false">
      <c r="A145" s="8" t="s">
        <v>684</v>
      </c>
      <c r="B145" s="11" t="s">
        <v>23</v>
      </c>
      <c r="C145" s="11" t="s">
        <v>665</v>
      </c>
      <c r="D145" s="11" t="s">
        <v>641</v>
      </c>
      <c r="E145" s="11" t="s">
        <v>685</v>
      </c>
      <c r="F145" s="11" t="s">
        <v>117</v>
      </c>
      <c r="G145" s="11" t="s">
        <v>686</v>
      </c>
      <c r="H145" s="11"/>
      <c r="I145" s="11" t="s">
        <v>687</v>
      </c>
      <c r="J145" s="8" t="s">
        <v>37</v>
      </c>
      <c r="K145" s="12" t="s">
        <v>45</v>
      </c>
      <c r="L145" s="8" t="s">
        <v>4</v>
      </c>
      <c r="M145" s="11"/>
      <c r="N145" s="13" t="s">
        <v>11</v>
      </c>
      <c r="O145" s="14"/>
      <c r="P145" s="14"/>
      <c r="Q145" s="14"/>
      <c r="R145" s="13"/>
    </row>
    <row r="146" customFormat="false" ht="23.85" hidden="false" customHeight="false" outlineLevel="0" collapsed="false">
      <c r="A146" s="8" t="s">
        <v>688</v>
      </c>
      <c r="B146" s="11" t="s">
        <v>23</v>
      </c>
      <c r="C146" s="11" t="s">
        <v>665</v>
      </c>
      <c r="D146" s="11" t="s">
        <v>641</v>
      </c>
      <c r="E146" s="11" t="s">
        <v>689</v>
      </c>
      <c r="F146" s="11" t="s">
        <v>117</v>
      </c>
      <c r="G146" s="11" t="s">
        <v>690</v>
      </c>
      <c r="H146" s="11"/>
      <c r="I146" s="11" t="s">
        <v>691</v>
      </c>
      <c r="J146" s="8" t="s">
        <v>38</v>
      </c>
      <c r="K146" s="12" t="s">
        <v>44</v>
      </c>
      <c r="L146" s="8" t="s">
        <v>3</v>
      </c>
      <c r="M146" s="11" t="s">
        <v>646</v>
      </c>
      <c r="N146" s="13" t="s">
        <v>11</v>
      </c>
      <c r="O146" s="14"/>
      <c r="P146" s="14"/>
      <c r="Q146" s="14"/>
      <c r="R146" s="13"/>
    </row>
    <row r="147" customFormat="false" ht="15" hidden="false" customHeight="false" outlineLevel="0" collapsed="false">
      <c r="A147" s="8" t="s">
        <v>692</v>
      </c>
      <c r="B147" s="11" t="s">
        <v>23</v>
      </c>
      <c r="C147" s="11" t="s">
        <v>693</v>
      </c>
      <c r="D147" s="11" t="s">
        <v>694</v>
      </c>
      <c r="E147" s="11" t="s">
        <v>695</v>
      </c>
      <c r="F147" s="11" t="s">
        <v>117</v>
      </c>
      <c r="G147" s="11" t="s">
        <v>696</v>
      </c>
      <c r="H147" s="11"/>
      <c r="I147" s="11" t="s">
        <v>697</v>
      </c>
      <c r="J147" s="8" t="s">
        <v>38</v>
      </c>
      <c r="K147" s="12" t="s">
        <v>43</v>
      </c>
      <c r="L147" s="8" t="s">
        <v>3</v>
      </c>
      <c r="M147" s="11" t="s">
        <v>573</v>
      </c>
      <c r="N147" s="13" t="s">
        <v>11</v>
      </c>
      <c r="O147" s="14"/>
      <c r="P147" s="14"/>
      <c r="Q147" s="14"/>
      <c r="R147" s="13"/>
    </row>
    <row r="148" customFormat="false" ht="15" hidden="false" customHeight="false" outlineLevel="0" collapsed="false">
      <c r="A148" s="8" t="s">
        <v>698</v>
      </c>
      <c r="B148" s="11" t="s">
        <v>23</v>
      </c>
      <c r="C148" s="11" t="s">
        <v>693</v>
      </c>
      <c r="D148" s="11" t="s">
        <v>694</v>
      </c>
      <c r="E148" s="11" t="s">
        <v>699</v>
      </c>
      <c r="F148" s="11" t="s">
        <v>117</v>
      </c>
      <c r="G148" s="11" t="s">
        <v>700</v>
      </c>
      <c r="H148" s="11"/>
      <c r="I148" s="11" t="s">
        <v>701</v>
      </c>
      <c r="J148" s="8" t="s">
        <v>38</v>
      </c>
      <c r="K148" s="12" t="s">
        <v>44</v>
      </c>
      <c r="L148" s="8" t="s">
        <v>4</v>
      </c>
      <c r="M148" s="11"/>
      <c r="N148" s="13" t="s">
        <v>11</v>
      </c>
      <c r="O148" s="14"/>
      <c r="P148" s="14"/>
      <c r="Q148" s="14"/>
      <c r="R148" s="13"/>
    </row>
    <row r="149" customFormat="false" ht="15" hidden="false" customHeight="false" outlineLevel="0" collapsed="false">
      <c r="A149" s="8" t="s">
        <v>702</v>
      </c>
      <c r="B149" s="11" t="s">
        <v>23</v>
      </c>
      <c r="C149" s="11" t="s">
        <v>693</v>
      </c>
      <c r="D149" s="11" t="s">
        <v>694</v>
      </c>
      <c r="E149" s="11" t="s">
        <v>703</v>
      </c>
      <c r="F149" s="11" t="s">
        <v>117</v>
      </c>
      <c r="G149" s="11" t="s">
        <v>704</v>
      </c>
      <c r="H149" s="11" t="s">
        <v>705</v>
      </c>
      <c r="I149" s="11" t="s">
        <v>706</v>
      </c>
      <c r="J149" s="8" t="s">
        <v>38</v>
      </c>
      <c r="K149" s="12" t="s">
        <v>44</v>
      </c>
      <c r="L149" s="8" t="s">
        <v>3</v>
      </c>
      <c r="M149" s="11" t="s">
        <v>573</v>
      </c>
      <c r="N149" s="13" t="s">
        <v>11</v>
      </c>
      <c r="O149" s="14"/>
      <c r="P149" s="14"/>
      <c r="Q149" s="14"/>
      <c r="R149" s="13"/>
    </row>
    <row r="150" customFormat="false" ht="15" hidden="false" customHeight="false" outlineLevel="0" collapsed="false">
      <c r="A150" s="8" t="s">
        <v>707</v>
      </c>
      <c r="B150" s="11" t="s">
        <v>23</v>
      </c>
      <c r="C150" s="11" t="s">
        <v>693</v>
      </c>
      <c r="D150" s="11" t="s">
        <v>620</v>
      </c>
      <c r="E150" s="11" t="s">
        <v>708</v>
      </c>
      <c r="F150" s="11" t="s">
        <v>117</v>
      </c>
      <c r="G150" s="11" t="s">
        <v>709</v>
      </c>
      <c r="H150" s="11"/>
      <c r="I150" s="11" t="s">
        <v>710</v>
      </c>
      <c r="J150" s="8" t="s">
        <v>38</v>
      </c>
      <c r="K150" s="12" t="s">
        <v>45</v>
      </c>
      <c r="L150" s="8" t="s">
        <v>3</v>
      </c>
      <c r="M150" s="11" t="s">
        <v>646</v>
      </c>
      <c r="N150" s="13" t="s">
        <v>11</v>
      </c>
      <c r="O150" s="14"/>
      <c r="P150" s="14"/>
      <c r="Q150" s="14"/>
      <c r="R150" s="13"/>
    </row>
    <row r="151" customFormat="false" ht="15" hidden="false" customHeight="false" outlineLevel="0" collapsed="false">
      <c r="A151" s="8" t="s">
        <v>711</v>
      </c>
      <c r="B151" s="11" t="s">
        <v>23</v>
      </c>
      <c r="C151" s="11" t="s">
        <v>693</v>
      </c>
      <c r="D151" s="11" t="s">
        <v>641</v>
      </c>
      <c r="E151" s="11" t="s">
        <v>712</v>
      </c>
      <c r="F151" s="11" t="s">
        <v>117</v>
      </c>
      <c r="G151" s="11" t="s">
        <v>713</v>
      </c>
      <c r="H151" s="11" t="s">
        <v>714</v>
      </c>
      <c r="I151" s="11" t="s">
        <v>715</v>
      </c>
      <c r="J151" s="8" t="s">
        <v>37</v>
      </c>
      <c r="K151" s="12" t="s">
        <v>45</v>
      </c>
      <c r="L151" s="8" t="s">
        <v>4</v>
      </c>
      <c r="M151" s="11"/>
      <c r="N151" s="13" t="s">
        <v>11</v>
      </c>
      <c r="O151" s="14"/>
      <c r="P151" s="14"/>
      <c r="Q151" s="14"/>
      <c r="R151" s="13"/>
    </row>
    <row r="152" customFormat="false" ht="23.85" hidden="false" customHeight="false" outlineLevel="0" collapsed="false">
      <c r="A152" s="8" t="s">
        <v>716</v>
      </c>
      <c r="B152" s="11" t="s">
        <v>23</v>
      </c>
      <c r="C152" s="11" t="s">
        <v>717</v>
      </c>
      <c r="D152" s="11" t="s">
        <v>569</v>
      </c>
      <c r="E152" s="11" t="s">
        <v>718</v>
      </c>
      <c r="F152" s="11" t="s">
        <v>117</v>
      </c>
      <c r="G152" s="11" t="s">
        <v>719</v>
      </c>
      <c r="H152" s="11" t="s">
        <v>720</v>
      </c>
      <c r="I152" s="11" t="s">
        <v>721</v>
      </c>
      <c r="J152" s="8" t="s">
        <v>38</v>
      </c>
      <c r="K152" s="12" t="s">
        <v>43</v>
      </c>
      <c r="L152" s="8" t="s">
        <v>3</v>
      </c>
      <c r="M152" s="11" t="s">
        <v>573</v>
      </c>
      <c r="N152" s="13" t="s">
        <v>11</v>
      </c>
      <c r="O152" s="14"/>
      <c r="P152" s="14"/>
      <c r="Q152" s="14"/>
      <c r="R152" s="13"/>
    </row>
    <row r="153" customFormat="false" ht="15" hidden="false" customHeight="false" outlineLevel="0" collapsed="false">
      <c r="A153" s="8" t="s">
        <v>722</v>
      </c>
      <c r="B153" s="11" t="s">
        <v>23</v>
      </c>
      <c r="C153" s="11" t="s">
        <v>723</v>
      </c>
      <c r="D153" s="11" t="s">
        <v>569</v>
      </c>
      <c r="E153" s="11" t="s">
        <v>724</v>
      </c>
      <c r="F153" s="11" t="s">
        <v>117</v>
      </c>
      <c r="G153" s="11" t="s">
        <v>725</v>
      </c>
      <c r="H153" s="11"/>
      <c r="I153" s="11" t="s">
        <v>726</v>
      </c>
      <c r="J153" s="8" t="s">
        <v>38</v>
      </c>
      <c r="K153" s="12" t="s">
        <v>44</v>
      </c>
      <c r="L153" s="8" t="s">
        <v>3</v>
      </c>
      <c r="M153" s="11" t="s">
        <v>573</v>
      </c>
      <c r="N153" s="13" t="s">
        <v>11</v>
      </c>
      <c r="O153" s="14"/>
      <c r="P153" s="14"/>
      <c r="Q153" s="14"/>
      <c r="R153" s="13"/>
    </row>
    <row r="154" customFormat="false" ht="15" hidden="false" customHeight="false" outlineLevel="0" collapsed="false">
      <c r="A154" s="8" t="s">
        <v>727</v>
      </c>
      <c r="B154" s="11" t="s">
        <v>23</v>
      </c>
      <c r="C154" s="11" t="s">
        <v>728</v>
      </c>
      <c r="D154" s="11" t="s">
        <v>641</v>
      </c>
      <c r="E154" s="11" t="s">
        <v>729</v>
      </c>
      <c r="F154" s="11" t="s">
        <v>117</v>
      </c>
      <c r="G154" s="11" t="s">
        <v>730</v>
      </c>
      <c r="H154" s="11"/>
      <c r="I154" s="11" t="s">
        <v>731</v>
      </c>
      <c r="J154" s="8" t="s">
        <v>38</v>
      </c>
      <c r="K154" s="12" t="s">
        <v>44</v>
      </c>
      <c r="L154" s="8" t="s">
        <v>3</v>
      </c>
      <c r="M154" s="11" t="s">
        <v>573</v>
      </c>
      <c r="N154" s="13" t="s">
        <v>11</v>
      </c>
      <c r="O154" s="14"/>
      <c r="P154" s="14"/>
      <c r="Q154" s="14"/>
      <c r="R154" s="13"/>
    </row>
    <row r="155" customFormat="false" ht="23.85" hidden="false" customHeight="false" outlineLevel="0" collapsed="false">
      <c r="A155" s="8" t="s">
        <v>732</v>
      </c>
      <c r="B155" s="11" t="s">
        <v>23</v>
      </c>
      <c r="C155" s="11" t="s">
        <v>733</v>
      </c>
      <c r="D155" s="11" t="s">
        <v>641</v>
      </c>
      <c r="E155" s="11" t="s">
        <v>734</v>
      </c>
      <c r="F155" s="11" t="s">
        <v>117</v>
      </c>
      <c r="G155" s="11" t="s">
        <v>735</v>
      </c>
      <c r="H155" s="11"/>
      <c r="I155" s="11" t="s">
        <v>736</v>
      </c>
      <c r="J155" s="8" t="s">
        <v>38</v>
      </c>
      <c r="K155" s="12" t="s">
        <v>43</v>
      </c>
      <c r="L155" s="8" t="s">
        <v>3</v>
      </c>
      <c r="M155" s="11" t="s">
        <v>573</v>
      </c>
      <c r="N155" s="13" t="s">
        <v>11</v>
      </c>
      <c r="O155" s="14"/>
      <c r="P155" s="14"/>
      <c r="Q155" s="14"/>
      <c r="R155" s="13"/>
    </row>
    <row r="156" customFormat="false" ht="15" hidden="false" customHeight="false" outlineLevel="0" collapsed="false">
      <c r="A156" s="8" t="s">
        <v>737</v>
      </c>
      <c r="B156" s="11" t="s">
        <v>23</v>
      </c>
      <c r="C156" s="11" t="s">
        <v>733</v>
      </c>
      <c r="D156" s="11" t="s">
        <v>641</v>
      </c>
      <c r="E156" s="11" t="s">
        <v>738</v>
      </c>
      <c r="F156" s="11" t="s">
        <v>117</v>
      </c>
      <c r="G156" s="11" t="s">
        <v>739</v>
      </c>
      <c r="H156" s="11"/>
      <c r="I156" s="11" t="s">
        <v>740</v>
      </c>
      <c r="J156" s="8" t="s">
        <v>38</v>
      </c>
      <c r="K156" s="12" t="s">
        <v>44</v>
      </c>
      <c r="L156" s="8" t="s">
        <v>4</v>
      </c>
      <c r="M156" s="11"/>
      <c r="N156" s="13" t="s">
        <v>11</v>
      </c>
      <c r="O156" s="14"/>
      <c r="P156" s="14"/>
      <c r="Q156" s="14"/>
      <c r="R156" s="13"/>
    </row>
    <row r="157" customFormat="false" ht="15" hidden="false" customHeight="false" outlineLevel="0" collapsed="false">
      <c r="A157" s="8" t="s">
        <v>741</v>
      </c>
      <c r="B157" s="11" t="s">
        <v>23</v>
      </c>
      <c r="C157" s="11" t="s">
        <v>733</v>
      </c>
      <c r="D157" s="11" t="s">
        <v>641</v>
      </c>
      <c r="E157" s="11" t="s">
        <v>742</v>
      </c>
      <c r="F157" s="11" t="s">
        <v>117</v>
      </c>
      <c r="G157" s="11" t="s">
        <v>743</v>
      </c>
      <c r="H157" s="11"/>
      <c r="I157" s="11" t="s">
        <v>744</v>
      </c>
      <c r="J157" s="8" t="s">
        <v>37</v>
      </c>
      <c r="K157" s="12" t="s">
        <v>44</v>
      </c>
      <c r="L157" s="8" t="s">
        <v>3</v>
      </c>
      <c r="M157" s="11" t="s">
        <v>646</v>
      </c>
      <c r="N157" s="13" t="s">
        <v>11</v>
      </c>
      <c r="O157" s="14"/>
      <c r="P157" s="14"/>
      <c r="Q157" s="14"/>
      <c r="R157" s="13"/>
    </row>
    <row r="158" customFormat="false" ht="15" hidden="false" customHeight="false" outlineLevel="0" collapsed="false">
      <c r="A158" s="8" t="s">
        <v>745</v>
      </c>
      <c r="B158" s="11" t="s">
        <v>23</v>
      </c>
      <c r="C158" s="11" t="s">
        <v>733</v>
      </c>
      <c r="D158" s="11" t="s">
        <v>641</v>
      </c>
      <c r="E158" s="11" t="s">
        <v>746</v>
      </c>
      <c r="F158" s="11" t="s">
        <v>117</v>
      </c>
      <c r="G158" s="11" t="s">
        <v>747</v>
      </c>
      <c r="H158" s="11"/>
      <c r="I158" s="11" t="s">
        <v>748</v>
      </c>
      <c r="J158" s="8" t="s">
        <v>37</v>
      </c>
      <c r="K158" s="12" t="s">
        <v>44</v>
      </c>
      <c r="L158" s="8" t="s">
        <v>3</v>
      </c>
      <c r="M158" s="11" t="s">
        <v>646</v>
      </c>
      <c r="N158" s="13" t="s">
        <v>11</v>
      </c>
      <c r="O158" s="14"/>
      <c r="P158" s="14"/>
      <c r="Q158" s="14"/>
      <c r="R158" s="13"/>
    </row>
    <row r="159" customFormat="false" ht="35.05" hidden="false" customHeight="false" outlineLevel="0" collapsed="false">
      <c r="A159" s="8" t="s">
        <v>749</v>
      </c>
      <c r="B159" s="11" t="s">
        <v>23</v>
      </c>
      <c r="C159" s="11" t="s">
        <v>750</v>
      </c>
      <c r="D159" s="11" t="s">
        <v>641</v>
      </c>
      <c r="E159" s="11" t="s">
        <v>751</v>
      </c>
      <c r="F159" s="11" t="s">
        <v>117</v>
      </c>
      <c r="G159" s="11" t="s">
        <v>752</v>
      </c>
      <c r="H159" s="11"/>
      <c r="I159" s="11" t="s">
        <v>753</v>
      </c>
      <c r="J159" s="8" t="s">
        <v>37</v>
      </c>
      <c r="K159" s="12" t="s">
        <v>44</v>
      </c>
      <c r="L159" s="8" t="s">
        <v>4</v>
      </c>
      <c r="M159" s="11"/>
      <c r="N159" s="13" t="s">
        <v>11</v>
      </c>
      <c r="O159" s="14"/>
      <c r="P159" s="14"/>
      <c r="Q159" s="14"/>
      <c r="R159" s="13"/>
    </row>
    <row r="160" customFormat="false" ht="23.85" hidden="false" customHeight="false" outlineLevel="0" collapsed="false">
      <c r="A160" s="8" t="s">
        <v>754</v>
      </c>
      <c r="B160" s="11" t="s">
        <v>23</v>
      </c>
      <c r="C160" s="11" t="s">
        <v>750</v>
      </c>
      <c r="D160" s="11" t="s">
        <v>641</v>
      </c>
      <c r="E160" s="11" t="s">
        <v>755</v>
      </c>
      <c r="F160" s="11" t="s">
        <v>117</v>
      </c>
      <c r="G160" s="11" t="s">
        <v>756</v>
      </c>
      <c r="H160" s="11"/>
      <c r="I160" s="11" t="s">
        <v>757</v>
      </c>
      <c r="J160" s="8" t="s">
        <v>38</v>
      </c>
      <c r="K160" s="12" t="s">
        <v>44</v>
      </c>
      <c r="L160" s="8" t="s">
        <v>3</v>
      </c>
      <c r="M160" s="11" t="s">
        <v>646</v>
      </c>
      <c r="N160" s="13" t="s">
        <v>11</v>
      </c>
      <c r="O160" s="14"/>
      <c r="P160" s="14"/>
      <c r="Q160" s="14"/>
      <c r="R160" s="13"/>
    </row>
    <row r="161" customFormat="false" ht="15" hidden="false" customHeight="false" outlineLevel="0" collapsed="false">
      <c r="A161" s="8" t="s">
        <v>758</v>
      </c>
      <c r="B161" s="11" t="s">
        <v>23</v>
      </c>
      <c r="C161" s="11" t="s">
        <v>750</v>
      </c>
      <c r="D161" s="11" t="s">
        <v>641</v>
      </c>
      <c r="E161" s="11" t="s">
        <v>759</v>
      </c>
      <c r="F161" s="11" t="s">
        <v>117</v>
      </c>
      <c r="G161" s="11" t="s">
        <v>760</v>
      </c>
      <c r="H161" s="11"/>
      <c r="I161" s="11" t="s">
        <v>761</v>
      </c>
      <c r="J161" s="8" t="s">
        <v>37</v>
      </c>
      <c r="K161" s="12" t="s">
        <v>44</v>
      </c>
      <c r="L161" s="8" t="s">
        <v>4</v>
      </c>
      <c r="M161" s="11"/>
      <c r="N161" s="13" t="s">
        <v>11</v>
      </c>
      <c r="O161" s="14"/>
      <c r="P161" s="14"/>
      <c r="Q161" s="14"/>
      <c r="R161" s="13"/>
    </row>
    <row r="162" customFormat="false" ht="23.85" hidden="false" customHeight="false" outlineLevel="0" collapsed="false">
      <c r="A162" s="8" t="s">
        <v>762</v>
      </c>
      <c r="B162" s="11" t="s">
        <v>23</v>
      </c>
      <c r="C162" s="11" t="s">
        <v>313</v>
      </c>
      <c r="D162" s="11" t="s">
        <v>641</v>
      </c>
      <c r="E162" s="11" t="s">
        <v>763</v>
      </c>
      <c r="F162" s="11" t="s">
        <v>764</v>
      </c>
      <c r="G162" s="11" t="s">
        <v>765</v>
      </c>
      <c r="H162" s="11"/>
      <c r="I162" s="11" t="s">
        <v>766</v>
      </c>
      <c r="J162" s="8" t="s">
        <v>41</v>
      </c>
      <c r="K162" s="12" t="s">
        <v>44</v>
      </c>
      <c r="L162" s="8" t="s">
        <v>3</v>
      </c>
      <c r="M162" s="11" t="s">
        <v>646</v>
      </c>
      <c r="N162" s="13" t="s">
        <v>11</v>
      </c>
      <c r="O162" s="14"/>
      <c r="P162" s="14"/>
      <c r="Q162" s="14"/>
      <c r="R162" s="13"/>
    </row>
    <row r="163" customFormat="false" ht="15" hidden="false" customHeight="false" outlineLevel="0" collapsed="false">
      <c r="A163" s="8" t="s">
        <v>767</v>
      </c>
      <c r="B163" s="11" t="s">
        <v>24</v>
      </c>
      <c r="C163" s="11" t="s">
        <v>768</v>
      </c>
      <c r="D163" s="11" t="s">
        <v>769</v>
      </c>
      <c r="E163" s="11" t="s">
        <v>770</v>
      </c>
      <c r="F163" s="11" t="s">
        <v>117</v>
      </c>
      <c r="G163" s="11" t="s">
        <v>771</v>
      </c>
      <c r="H163" s="11"/>
      <c r="I163" s="11" t="s">
        <v>772</v>
      </c>
      <c r="J163" s="8" t="s">
        <v>38</v>
      </c>
      <c r="K163" s="12" t="s">
        <v>43</v>
      </c>
      <c r="L163" s="8" t="s">
        <v>3</v>
      </c>
      <c r="M163" s="11" t="s">
        <v>573</v>
      </c>
      <c r="N163" s="13" t="s">
        <v>11</v>
      </c>
      <c r="O163" s="14"/>
      <c r="P163" s="14"/>
      <c r="Q163" s="14"/>
      <c r="R163" s="13"/>
    </row>
    <row r="164" customFormat="false" ht="23.85" hidden="false" customHeight="false" outlineLevel="0" collapsed="false">
      <c r="A164" s="8" t="s">
        <v>773</v>
      </c>
      <c r="B164" s="11" t="s">
        <v>24</v>
      </c>
      <c r="C164" s="11" t="s">
        <v>768</v>
      </c>
      <c r="D164" s="11" t="s">
        <v>769</v>
      </c>
      <c r="E164" s="11" t="s">
        <v>774</v>
      </c>
      <c r="F164" s="11" t="s">
        <v>117</v>
      </c>
      <c r="G164" s="11" t="s">
        <v>775</v>
      </c>
      <c r="H164" s="11"/>
      <c r="I164" s="11" t="s">
        <v>776</v>
      </c>
      <c r="J164" s="8" t="s">
        <v>38</v>
      </c>
      <c r="K164" s="12" t="s">
        <v>43</v>
      </c>
      <c r="L164" s="8" t="s">
        <v>3</v>
      </c>
      <c r="M164" s="11" t="s">
        <v>573</v>
      </c>
      <c r="N164" s="13" t="s">
        <v>11</v>
      </c>
      <c r="O164" s="14"/>
      <c r="P164" s="14"/>
      <c r="Q164" s="14"/>
      <c r="R164" s="13"/>
    </row>
    <row r="165" customFormat="false" ht="23.85" hidden="false" customHeight="false" outlineLevel="0" collapsed="false">
      <c r="A165" s="8" t="s">
        <v>777</v>
      </c>
      <c r="B165" s="11" t="s">
        <v>24</v>
      </c>
      <c r="C165" s="11" t="s">
        <v>778</v>
      </c>
      <c r="D165" s="11" t="s">
        <v>779</v>
      </c>
      <c r="E165" s="11" t="s">
        <v>780</v>
      </c>
      <c r="F165" s="11" t="s">
        <v>117</v>
      </c>
      <c r="G165" s="11" t="s">
        <v>781</v>
      </c>
      <c r="H165" s="11"/>
      <c r="I165" s="11" t="s">
        <v>772</v>
      </c>
      <c r="J165" s="8" t="s">
        <v>38</v>
      </c>
      <c r="K165" s="12" t="s">
        <v>43</v>
      </c>
      <c r="L165" s="8" t="s">
        <v>3</v>
      </c>
      <c r="M165" s="11" t="s">
        <v>83</v>
      </c>
      <c r="N165" s="13" t="s">
        <v>11</v>
      </c>
      <c r="O165" s="14"/>
      <c r="P165" s="14"/>
      <c r="Q165" s="14"/>
      <c r="R165" s="13"/>
    </row>
    <row r="166" customFormat="false" ht="23.85" hidden="false" customHeight="false" outlineLevel="0" collapsed="false">
      <c r="A166" s="8" t="s">
        <v>782</v>
      </c>
      <c r="B166" s="11" t="s">
        <v>24</v>
      </c>
      <c r="C166" s="11" t="s">
        <v>778</v>
      </c>
      <c r="D166" s="11" t="s">
        <v>779</v>
      </c>
      <c r="E166" s="11" t="s">
        <v>783</v>
      </c>
      <c r="F166" s="11" t="s">
        <v>117</v>
      </c>
      <c r="G166" s="11" t="s">
        <v>775</v>
      </c>
      <c r="H166" s="11"/>
      <c r="I166" s="11" t="s">
        <v>776</v>
      </c>
      <c r="J166" s="8" t="s">
        <v>38</v>
      </c>
      <c r="K166" s="12" t="s">
        <v>43</v>
      </c>
      <c r="L166" s="8" t="s">
        <v>3</v>
      </c>
      <c r="M166" s="11" t="s">
        <v>545</v>
      </c>
      <c r="N166" s="13" t="s">
        <v>11</v>
      </c>
      <c r="O166" s="14"/>
      <c r="P166" s="14"/>
      <c r="Q166" s="14"/>
      <c r="R166" s="13"/>
    </row>
    <row r="167" customFormat="false" ht="15" hidden="false" customHeight="false" outlineLevel="0" collapsed="false">
      <c r="A167" s="8" t="s">
        <v>784</v>
      </c>
      <c r="B167" s="11" t="s">
        <v>24</v>
      </c>
      <c r="C167" s="11" t="s">
        <v>785</v>
      </c>
      <c r="D167" s="11" t="s">
        <v>786</v>
      </c>
      <c r="E167" s="11" t="s">
        <v>787</v>
      </c>
      <c r="F167" s="11" t="s">
        <v>117</v>
      </c>
      <c r="G167" s="11" t="s">
        <v>788</v>
      </c>
      <c r="H167" s="11"/>
      <c r="I167" s="11" t="s">
        <v>772</v>
      </c>
      <c r="J167" s="8" t="s">
        <v>38</v>
      </c>
      <c r="K167" s="12" t="s">
        <v>43</v>
      </c>
      <c r="L167" s="8" t="s">
        <v>3</v>
      </c>
      <c r="M167" s="11" t="s">
        <v>83</v>
      </c>
      <c r="N167" s="13" t="s">
        <v>11</v>
      </c>
      <c r="O167" s="14"/>
      <c r="P167" s="14"/>
      <c r="Q167" s="14"/>
      <c r="R167" s="13"/>
    </row>
    <row r="168" customFormat="false" ht="23.85" hidden="false" customHeight="false" outlineLevel="0" collapsed="false">
      <c r="A168" s="8" t="s">
        <v>789</v>
      </c>
      <c r="B168" s="11" t="s">
        <v>24</v>
      </c>
      <c r="C168" s="11" t="s">
        <v>785</v>
      </c>
      <c r="D168" s="11" t="s">
        <v>786</v>
      </c>
      <c r="E168" s="11" t="s">
        <v>790</v>
      </c>
      <c r="F168" s="11" t="s">
        <v>117</v>
      </c>
      <c r="G168" s="11" t="s">
        <v>775</v>
      </c>
      <c r="H168" s="11"/>
      <c r="I168" s="11" t="s">
        <v>776</v>
      </c>
      <c r="J168" s="8" t="s">
        <v>38</v>
      </c>
      <c r="K168" s="12" t="s">
        <v>43</v>
      </c>
      <c r="L168" s="8" t="s">
        <v>3</v>
      </c>
      <c r="M168" s="11" t="s">
        <v>545</v>
      </c>
      <c r="N168" s="13" t="s">
        <v>11</v>
      </c>
      <c r="O168" s="14"/>
      <c r="P168" s="14"/>
      <c r="Q168" s="14"/>
      <c r="R168" s="13"/>
    </row>
    <row r="169" customFormat="false" ht="23.85" hidden="false" customHeight="false" outlineLevel="0" collapsed="false">
      <c r="A169" s="8" t="s">
        <v>791</v>
      </c>
      <c r="B169" s="11" t="s">
        <v>24</v>
      </c>
      <c r="C169" s="11" t="s">
        <v>792</v>
      </c>
      <c r="D169" s="11" t="s">
        <v>793</v>
      </c>
      <c r="E169" s="11" t="s">
        <v>794</v>
      </c>
      <c r="F169" s="11" t="s">
        <v>117</v>
      </c>
      <c r="G169" s="11" t="s">
        <v>795</v>
      </c>
      <c r="H169" s="11"/>
      <c r="I169" s="11" t="s">
        <v>772</v>
      </c>
      <c r="J169" s="8" t="s">
        <v>38</v>
      </c>
      <c r="K169" s="12" t="s">
        <v>43</v>
      </c>
      <c r="L169" s="8" t="s">
        <v>3</v>
      </c>
      <c r="M169" s="11" t="s">
        <v>83</v>
      </c>
      <c r="N169" s="13" t="s">
        <v>11</v>
      </c>
      <c r="O169" s="14"/>
      <c r="P169" s="14"/>
      <c r="Q169" s="14"/>
      <c r="R169" s="13"/>
    </row>
    <row r="170" customFormat="false" ht="23.85" hidden="false" customHeight="false" outlineLevel="0" collapsed="false">
      <c r="A170" s="8" t="s">
        <v>796</v>
      </c>
      <c r="B170" s="11" t="s">
        <v>24</v>
      </c>
      <c r="C170" s="11" t="s">
        <v>792</v>
      </c>
      <c r="D170" s="11" t="s">
        <v>793</v>
      </c>
      <c r="E170" s="11" t="s">
        <v>797</v>
      </c>
      <c r="F170" s="11" t="s">
        <v>117</v>
      </c>
      <c r="G170" s="11" t="s">
        <v>775</v>
      </c>
      <c r="H170" s="11"/>
      <c r="I170" s="11" t="s">
        <v>776</v>
      </c>
      <c r="J170" s="8" t="s">
        <v>38</v>
      </c>
      <c r="K170" s="12" t="s">
        <v>43</v>
      </c>
      <c r="L170" s="8" t="s">
        <v>3</v>
      </c>
      <c r="M170" s="11" t="s">
        <v>545</v>
      </c>
      <c r="N170" s="13" t="s">
        <v>11</v>
      </c>
      <c r="O170" s="14"/>
      <c r="P170" s="14"/>
      <c r="Q170" s="14"/>
      <c r="R170" s="13"/>
    </row>
    <row r="171" customFormat="false" ht="15" hidden="false" customHeight="false" outlineLevel="0" collapsed="false">
      <c r="A171" s="8" t="s">
        <v>798</v>
      </c>
      <c r="B171" s="11" t="s">
        <v>24</v>
      </c>
      <c r="C171" s="11" t="s">
        <v>799</v>
      </c>
      <c r="D171" s="11" t="s">
        <v>800</v>
      </c>
      <c r="E171" s="11" t="s">
        <v>801</v>
      </c>
      <c r="F171" s="11" t="s">
        <v>117</v>
      </c>
      <c r="G171" s="11" t="s">
        <v>802</v>
      </c>
      <c r="H171" s="11"/>
      <c r="I171" s="11" t="s">
        <v>772</v>
      </c>
      <c r="J171" s="8" t="s">
        <v>38</v>
      </c>
      <c r="K171" s="12" t="s">
        <v>43</v>
      </c>
      <c r="L171" s="8" t="s">
        <v>3</v>
      </c>
      <c r="M171" s="11" t="s">
        <v>83</v>
      </c>
      <c r="N171" s="13" t="s">
        <v>11</v>
      </c>
      <c r="O171" s="14"/>
      <c r="P171" s="14"/>
      <c r="Q171" s="14"/>
      <c r="R171" s="13"/>
    </row>
    <row r="172" customFormat="false" ht="23.85" hidden="false" customHeight="false" outlineLevel="0" collapsed="false">
      <c r="A172" s="8" t="s">
        <v>803</v>
      </c>
      <c r="B172" s="11" t="s">
        <v>24</v>
      </c>
      <c r="C172" s="11" t="s">
        <v>799</v>
      </c>
      <c r="D172" s="11" t="s">
        <v>800</v>
      </c>
      <c r="E172" s="11" t="s">
        <v>804</v>
      </c>
      <c r="F172" s="11" t="s">
        <v>117</v>
      </c>
      <c r="G172" s="11" t="s">
        <v>775</v>
      </c>
      <c r="H172" s="11"/>
      <c r="I172" s="11" t="s">
        <v>776</v>
      </c>
      <c r="J172" s="8" t="s">
        <v>38</v>
      </c>
      <c r="K172" s="12" t="s">
        <v>43</v>
      </c>
      <c r="L172" s="8" t="s">
        <v>3</v>
      </c>
      <c r="M172" s="11" t="s">
        <v>545</v>
      </c>
      <c r="N172" s="13" t="s">
        <v>11</v>
      </c>
      <c r="O172" s="14"/>
      <c r="P172" s="14"/>
      <c r="Q172" s="14"/>
      <c r="R172" s="13"/>
    </row>
    <row r="173" customFormat="false" ht="15" hidden="false" customHeight="false" outlineLevel="0" collapsed="false">
      <c r="A173" s="8" t="s">
        <v>805</v>
      </c>
      <c r="B173" s="11" t="s">
        <v>24</v>
      </c>
      <c r="C173" s="11" t="s">
        <v>806</v>
      </c>
      <c r="D173" s="11" t="s">
        <v>807</v>
      </c>
      <c r="E173" s="11" t="s">
        <v>808</v>
      </c>
      <c r="F173" s="11" t="s">
        <v>117</v>
      </c>
      <c r="G173" s="11" t="s">
        <v>809</v>
      </c>
      <c r="H173" s="11"/>
      <c r="I173" s="11" t="s">
        <v>810</v>
      </c>
      <c r="J173" s="8" t="s">
        <v>38</v>
      </c>
      <c r="K173" s="12" t="s">
        <v>44</v>
      </c>
      <c r="L173" s="8" t="s">
        <v>3</v>
      </c>
      <c r="M173" s="11" t="s">
        <v>573</v>
      </c>
      <c r="N173" s="13" t="s">
        <v>11</v>
      </c>
      <c r="O173" s="14"/>
      <c r="P173" s="14"/>
      <c r="Q173" s="14"/>
      <c r="R173" s="13"/>
    </row>
    <row r="174" customFormat="false" ht="23.85" hidden="false" customHeight="false" outlineLevel="0" collapsed="false">
      <c r="A174" s="8" t="s">
        <v>811</v>
      </c>
      <c r="B174" s="11" t="s">
        <v>24</v>
      </c>
      <c r="C174" s="11" t="s">
        <v>36</v>
      </c>
      <c r="D174" s="11" t="s">
        <v>807</v>
      </c>
      <c r="E174" s="11" t="s">
        <v>812</v>
      </c>
      <c r="F174" s="11" t="s">
        <v>117</v>
      </c>
      <c r="G174" s="11" t="s">
        <v>813</v>
      </c>
      <c r="H174" s="11"/>
      <c r="I174" s="11" t="s">
        <v>814</v>
      </c>
      <c r="J174" s="8" t="s">
        <v>41</v>
      </c>
      <c r="K174" s="12" t="s">
        <v>44</v>
      </c>
      <c r="L174" s="8" t="s">
        <v>3</v>
      </c>
      <c r="M174" s="11" t="s">
        <v>815</v>
      </c>
      <c r="N174" s="13" t="s">
        <v>11</v>
      </c>
      <c r="O174" s="14"/>
      <c r="P174" s="14"/>
      <c r="Q174" s="14"/>
      <c r="R174" s="13"/>
    </row>
    <row r="175" customFormat="false" ht="15" hidden="false" customHeight="false" outlineLevel="0" collapsed="false">
      <c r="A175" s="8" t="s">
        <v>816</v>
      </c>
      <c r="B175" s="11" t="s">
        <v>24</v>
      </c>
      <c r="C175" s="11" t="s">
        <v>36</v>
      </c>
      <c r="D175" s="11" t="s">
        <v>807</v>
      </c>
      <c r="E175" s="11" t="s">
        <v>817</v>
      </c>
      <c r="F175" s="11" t="s">
        <v>117</v>
      </c>
      <c r="G175" s="11" t="s">
        <v>818</v>
      </c>
      <c r="H175" s="11"/>
      <c r="I175" s="11" t="s">
        <v>819</v>
      </c>
      <c r="J175" s="8" t="s">
        <v>37</v>
      </c>
      <c r="K175" s="12" t="s">
        <v>45</v>
      </c>
      <c r="L175" s="8" t="s">
        <v>3</v>
      </c>
      <c r="M175" s="11" t="s">
        <v>83</v>
      </c>
      <c r="N175" s="13" t="s">
        <v>11</v>
      </c>
      <c r="O175" s="14"/>
      <c r="P175" s="14"/>
      <c r="Q175" s="14"/>
      <c r="R175" s="13"/>
    </row>
    <row r="176" customFormat="false" ht="15" hidden="false" customHeight="false" outlineLevel="0" collapsed="false">
      <c r="A176" s="8" t="s">
        <v>820</v>
      </c>
      <c r="B176" s="11" t="s">
        <v>24</v>
      </c>
      <c r="C176" s="11" t="s">
        <v>821</v>
      </c>
      <c r="D176" s="11" t="s">
        <v>807</v>
      </c>
      <c r="E176" s="11" t="s">
        <v>822</v>
      </c>
      <c r="F176" s="11" t="s">
        <v>117</v>
      </c>
      <c r="G176" s="11" t="s">
        <v>823</v>
      </c>
      <c r="H176" s="11"/>
      <c r="I176" s="11" t="s">
        <v>824</v>
      </c>
      <c r="J176" s="8" t="s">
        <v>41</v>
      </c>
      <c r="K176" s="12" t="s">
        <v>45</v>
      </c>
      <c r="L176" s="8" t="s">
        <v>4</v>
      </c>
      <c r="M176" s="11"/>
      <c r="N176" s="13" t="s">
        <v>11</v>
      </c>
      <c r="O176" s="14"/>
      <c r="P176" s="14"/>
      <c r="Q176" s="14"/>
      <c r="R176" s="13"/>
    </row>
    <row r="177" customFormat="false" ht="15" hidden="false" customHeight="false" outlineLevel="0" collapsed="false">
      <c r="A177" s="8" t="s">
        <v>825</v>
      </c>
      <c r="B177" s="11" t="s">
        <v>24</v>
      </c>
      <c r="C177" s="11" t="s">
        <v>37</v>
      </c>
      <c r="D177" s="11" t="s">
        <v>807</v>
      </c>
      <c r="E177" s="11" t="s">
        <v>826</v>
      </c>
      <c r="F177" s="11" t="s">
        <v>117</v>
      </c>
      <c r="G177" s="11" t="s">
        <v>827</v>
      </c>
      <c r="H177" s="11"/>
      <c r="I177" s="11" t="s">
        <v>828</v>
      </c>
      <c r="J177" s="8" t="s">
        <v>37</v>
      </c>
      <c r="K177" s="12" t="s">
        <v>44</v>
      </c>
      <c r="L177" s="8" t="s">
        <v>3</v>
      </c>
      <c r="M177" s="11" t="s">
        <v>573</v>
      </c>
      <c r="N177" s="13" t="s">
        <v>11</v>
      </c>
      <c r="O177" s="14"/>
      <c r="P177" s="14"/>
      <c r="Q177" s="14"/>
      <c r="R177" s="13"/>
    </row>
    <row r="178" customFormat="false" ht="23.85" hidden="false" customHeight="false" outlineLevel="0" collapsed="false">
      <c r="A178" s="8" t="s">
        <v>829</v>
      </c>
      <c r="B178" s="11" t="s">
        <v>24</v>
      </c>
      <c r="C178" s="11" t="s">
        <v>37</v>
      </c>
      <c r="D178" s="11" t="s">
        <v>807</v>
      </c>
      <c r="E178" s="11" t="s">
        <v>830</v>
      </c>
      <c r="F178" s="11" t="s">
        <v>117</v>
      </c>
      <c r="G178" s="11" t="s">
        <v>831</v>
      </c>
      <c r="H178" s="11"/>
      <c r="I178" s="11" t="s">
        <v>832</v>
      </c>
      <c r="J178" s="8" t="s">
        <v>37</v>
      </c>
      <c r="K178" s="12" t="s">
        <v>45</v>
      </c>
      <c r="L178" s="8" t="s">
        <v>4</v>
      </c>
      <c r="M178" s="11"/>
      <c r="N178" s="13" t="s">
        <v>11</v>
      </c>
      <c r="O178" s="14"/>
      <c r="P178" s="14"/>
      <c r="Q178" s="14"/>
      <c r="R178" s="13"/>
    </row>
    <row r="179" customFormat="false" ht="35.05" hidden="false" customHeight="false" outlineLevel="0" collapsed="false">
      <c r="A179" s="8" t="s">
        <v>833</v>
      </c>
      <c r="B179" s="11" t="s">
        <v>25</v>
      </c>
      <c r="C179" s="11" t="s">
        <v>834</v>
      </c>
      <c r="D179" s="11" t="s">
        <v>835</v>
      </c>
      <c r="E179" s="11" t="s">
        <v>836</v>
      </c>
      <c r="F179" s="11" t="s">
        <v>117</v>
      </c>
      <c r="G179" s="11" t="s">
        <v>837</v>
      </c>
      <c r="H179" s="11" t="s">
        <v>838</v>
      </c>
      <c r="I179" s="11" t="s">
        <v>839</v>
      </c>
      <c r="J179" s="8" t="s">
        <v>38</v>
      </c>
      <c r="K179" s="12" t="s">
        <v>44</v>
      </c>
      <c r="L179" s="8" t="s">
        <v>3</v>
      </c>
      <c r="M179" s="11" t="s">
        <v>646</v>
      </c>
      <c r="N179" s="13" t="s">
        <v>11</v>
      </c>
      <c r="O179" s="14"/>
      <c r="P179" s="14"/>
      <c r="Q179" s="14"/>
      <c r="R179" s="13"/>
    </row>
    <row r="180" customFormat="false" ht="35.05" hidden="false" customHeight="false" outlineLevel="0" collapsed="false">
      <c r="A180" s="8" t="s">
        <v>840</v>
      </c>
      <c r="B180" s="11" t="s">
        <v>25</v>
      </c>
      <c r="C180" s="11" t="s">
        <v>834</v>
      </c>
      <c r="D180" s="11" t="s">
        <v>841</v>
      </c>
      <c r="E180" s="11" t="s">
        <v>836</v>
      </c>
      <c r="F180" s="11" t="s">
        <v>117</v>
      </c>
      <c r="G180" s="11" t="s">
        <v>842</v>
      </c>
      <c r="H180" s="11" t="s">
        <v>838</v>
      </c>
      <c r="I180" s="11" t="s">
        <v>839</v>
      </c>
      <c r="J180" s="8" t="s">
        <v>38</v>
      </c>
      <c r="K180" s="12" t="s">
        <v>44</v>
      </c>
      <c r="L180" s="8" t="s">
        <v>3</v>
      </c>
      <c r="M180" s="11" t="s">
        <v>646</v>
      </c>
      <c r="N180" s="13" t="s">
        <v>11</v>
      </c>
      <c r="O180" s="14"/>
      <c r="P180" s="14"/>
      <c r="Q180" s="14"/>
      <c r="R180" s="13"/>
    </row>
    <row r="181" customFormat="false" ht="35.05" hidden="false" customHeight="false" outlineLevel="0" collapsed="false">
      <c r="A181" s="8" t="s">
        <v>843</v>
      </c>
      <c r="B181" s="11" t="s">
        <v>25</v>
      </c>
      <c r="C181" s="11" t="s">
        <v>834</v>
      </c>
      <c r="D181" s="11" t="s">
        <v>844</v>
      </c>
      <c r="E181" s="11" t="s">
        <v>836</v>
      </c>
      <c r="F181" s="11" t="s">
        <v>117</v>
      </c>
      <c r="G181" s="11" t="s">
        <v>845</v>
      </c>
      <c r="H181" s="11" t="s">
        <v>838</v>
      </c>
      <c r="I181" s="11" t="s">
        <v>839</v>
      </c>
      <c r="J181" s="8" t="s">
        <v>38</v>
      </c>
      <c r="K181" s="12" t="s">
        <v>44</v>
      </c>
      <c r="L181" s="8" t="s">
        <v>3</v>
      </c>
      <c r="M181" s="11" t="s">
        <v>646</v>
      </c>
      <c r="N181" s="13" t="s">
        <v>11</v>
      </c>
      <c r="O181" s="14"/>
      <c r="P181" s="14"/>
      <c r="Q181" s="14"/>
      <c r="R181" s="13"/>
    </row>
    <row r="182" customFormat="false" ht="35.05" hidden="false" customHeight="false" outlineLevel="0" collapsed="false">
      <c r="A182" s="8" t="s">
        <v>846</v>
      </c>
      <c r="B182" s="11" t="s">
        <v>25</v>
      </c>
      <c r="C182" s="11" t="s">
        <v>834</v>
      </c>
      <c r="D182" s="11" t="s">
        <v>847</v>
      </c>
      <c r="E182" s="11" t="s">
        <v>836</v>
      </c>
      <c r="F182" s="11" t="s">
        <v>117</v>
      </c>
      <c r="G182" s="11" t="s">
        <v>848</v>
      </c>
      <c r="H182" s="11" t="s">
        <v>838</v>
      </c>
      <c r="I182" s="11" t="s">
        <v>839</v>
      </c>
      <c r="J182" s="8" t="s">
        <v>38</v>
      </c>
      <c r="K182" s="12" t="s">
        <v>44</v>
      </c>
      <c r="L182" s="8" t="s">
        <v>3</v>
      </c>
      <c r="M182" s="11" t="s">
        <v>646</v>
      </c>
      <c r="N182" s="13" t="s">
        <v>11</v>
      </c>
      <c r="O182" s="14"/>
      <c r="P182" s="14"/>
      <c r="Q182" s="14"/>
      <c r="R182" s="13"/>
    </row>
    <row r="183" customFormat="false" ht="46.25" hidden="false" customHeight="false" outlineLevel="0" collapsed="false">
      <c r="A183" s="8" t="s">
        <v>849</v>
      </c>
      <c r="B183" s="11" t="s">
        <v>25</v>
      </c>
      <c r="C183" s="11" t="s">
        <v>834</v>
      </c>
      <c r="D183" s="11" t="s">
        <v>850</v>
      </c>
      <c r="E183" s="11" t="s">
        <v>836</v>
      </c>
      <c r="F183" s="11" t="s">
        <v>117</v>
      </c>
      <c r="G183" s="11" t="s">
        <v>851</v>
      </c>
      <c r="H183" s="11" t="s">
        <v>838</v>
      </c>
      <c r="I183" s="11" t="s">
        <v>839</v>
      </c>
      <c r="J183" s="8" t="s">
        <v>38</v>
      </c>
      <c r="K183" s="12" t="s">
        <v>44</v>
      </c>
      <c r="L183" s="8" t="s">
        <v>3</v>
      </c>
      <c r="M183" s="11" t="s">
        <v>646</v>
      </c>
      <c r="N183" s="13" t="s">
        <v>11</v>
      </c>
      <c r="O183" s="14"/>
      <c r="P183" s="14"/>
      <c r="Q183" s="14"/>
      <c r="R183" s="13"/>
    </row>
    <row r="184" customFormat="false" ht="35.05" hidden="false" customHeight="false" outlineLevel="0" collapsed="false">
      <c r="A184" s="8" t="s">
        <v>852</v>
      </c>
      <c r="B184" s="11" t="s">
        <v>25</v>
      </c>
      <c r="C184" s="11" t="s">
        <v>834</v>
      </c>
      <c r="D184" s="11" t="s">
        <v>853</v>
      </c>
      <c r="E184" s="11" t="s">
        <v>836</v>
      </c>
      <c r="F184" s="11" t="s">
        <v>117</v>
      </c>
      <c r="G184" s="11" t="s">
        <v>854</v>
      </c>
      <c r="H184" s="11" t="s">
        <v>838</v>
      </c>
      <c r="I184" s="11" t="s">
        <v>839</v>
      </c>
      <c r="J184" s="8" t="s">
        <v>38</v>
      </c>
      <c r="K184" s="12" t="s">
        <v>44</v>
      </c>
      <c r="L184" s="8" t="s">
        <v>3</v>
      </c>
      <c r="M184" s="11" t="s">
        <v>646</v>
      </c>
      <c r="N184" s="13" t="s">
        <v>11</v>
      </c>
      <c r="O184" s="14"/>
      <c r="P184" s="14"/>
      <c r="Q184" s="14"/>
      <c r="R184" s="13"/>
    </row>
    <row r="185" customFormat="false" ht="35.05" hidden="false" customHeight="false" outlineLevel="0" collapsed="false">
      <c r="A185" s="8" t="s">
        <v>855</v>
      </c>
      <c r="B185" s="11" t="s">
        <v>25</v>
      </c>
      <c r="C185" s="11" t="s">
        <v>834</v>
      </c>
      <c r="D185" s="11" t="s">
        <v>856</v>
      </c>
      <c r="E185" s="11" t="s">
        <v>836</v>
      </c>
      <c r="F185" s="11" t="s">
        <v>117</v>
      </c>
      <c r="G185" s="11" t="s">
        <v>857</v>
      </c>
      <c r="H185" s="11" t="s">
        <v>838</v>
      </c>
      <c r="I185" s="11" t="s">
        <v>839</v>
      </c>
      <c r="J185" s="8" t="s">
        <v>38</v>
      </c>
      <c r="K185" s="12" t="s">
        <v>44</v>
      </c>
      <c r="L185" s="8" t="s">
        <v>3</v>
      </c>
      <c r="M185" s="11" t="s">
        <v>646</v>
      </c>
      <c r="N185" s="13" t="s">
        <v>11</v>
      </c>
      <c r="O185" s="14"/>
      <c r="P185" s="14"/>
      <c r="Q185" s="14"/>
      <c r="R185" s="13"/>
    </row>
    <row r="186" customFormat="false" ht="23.85" hidden="false" customHeight="false" outlineLevel="0" collapsed="false">
      <c r="A186" s="8" t="s">
        <v>858</v>
      </c>
      <c r="B186" s="11" t="s">
        <v>25</v>
      </c>
      <c r="C186" s="11" t="s">
        <v>834</v>
      </c>
      <c r="D186" s="11" t="s">
        <v>859</v>
      </c>
      <c r="E186" s="11" t="s">
        <v>860</v>
      </c>
      <c r="F186" s="11" t="s">
        <v>117</v>
      </c>
      <c r="G186" s="11" t="s">
        <v>861</v>
      </c>
      <c r="H186" s="11"/>
      <c r="I186" s="11" t="s">
        <v>862</v>
      </c>
      <c r="J186" s="8" t="s">
        <v>38</v>
      </c>
      <c r="K186" s="12" t="s">
        <v>44</v>
      </c>
      <c r="L186" s="8" t="s">
        <v>3</v>
      </c>
      <c r="M186" s="11" t="s">
        <v>646</v>
      </c>
      <c r="N186" s="13" t="s">
        <v>11</v>
      </c>
      <c r="O186" s="14"/>
      <c r="P186" s="14"/>
      <c r="Q186" s="14"/>
      <c r="R186" s="13"/>
    </row>
    <row r="187" customFormat="false" ht="23.85" hidden="false" customHeight="false" outlineLevel="0" collapsed="false">
      <c r="A187" s="8" t="s">
        <v>863</v>
      </c>
      <c r="B187" s="11" t="s">
        <v>25</v>
      </c>
      <c r="C187" s="11" t="s">
        <v>834</v>
      </c>
      <c r="D187" s="11" t="s">
        <v>859</v>
      </c>
      <c r="E187" s="11" t="s">
        <v>864</v>
      </c>
      <c r="F187" s="11" t="s">
        <v>117</v>
      </c>
      <c r="G187" s="11" t="s">
        <v>865</v>
      </c>
      <c r="H187" s="11"/>
      <c r="I187" s="11" t="s">
        <v>866</v>
      </c>
      <c r="J187" s="8" t="s">
        <v>37</v>
      </c>
      <c r="K187" s="12" t="s">
        <v>45</v>
      </c>
      <c r="L187" s="8" t="s">
        <v>3</v>
      </c>
      <c r="M187" s="11" t="s">
        <v>646</v>
      </c>
      <c r="N187" s="13" t="s">
        <v>11</v>
      </c>
      <c r="O187" s="14"/>
      <c r="P187" s="14"/>
      <c r="Q187" s="14"/>
      <c r="R187" s="13"/>
    </row>
    <row r="188" customFormat="false" ht="23.85" hidden="false" customHeight="false" outlineLevel="0" collapsed="false">
      <c r="A188" s="8" t="s">
        <v>867</v>
      </c>
      <c r="B188" s="11" t="s">
        <v>25</v>
      </c>
      <c r="C188" s="11" t="s">
        <v>868</v>
      </c>
      <c r="D188" s="11" t="s">
        <v>869</v>
      </c>
      <c r="E188" s="11" t="s">
        <v>870</v>
      </c>
      <c r="F188" s="11" t="s">
        <v>117</v>
      </c>
      <c r="G188" s="11" t="s">
        <v>871</v>
      </c>
      <c r="H188" s="11"/>
      <c r="I188" s="11" t="s">
        <v>872</v>
      </c>
      <c r="J188" s="8" t="s">
        <v>38</v>
      </c>
      <c r="K188" s="12" t="s">
        <v>44</v>
      </c>
      <c r="L188" s="8" t="s">
        <v>3</v>
      </c>
      <c r="M188" s="11" t="s">
        <v>646</v>
      </c>
      <c r="N188" s="13" t="s">
        <v>11</v>
      </c>
      <c r="O188" s="14"/>
      <c r="P188" s="14"/>
      <c r="Q188" s="14"/>
      <c r="R188" s="13"/>
    </row>
    <row r="189" customFormat="false" ht="23.85" hidden="false" customHeight="false" outlineLevel="0" collapsed="false">
      <c r="A189" s="8" t="s">
        <v>873</v>
      </c>
      <c r="B189" s="11" t="s">
        <v>25</v>
      </c>
      <c r="C189" s="11" t="s">
        <v>868</v>
      </c>
      <c r="D189" s="11" t="s">
        <v>869</v>
      </c>
      <c r="E189" s="11" t="s">
        <v>874</v>
      </c>
      <c r="F189" s="11" t="s">
        <v>117</v>
      </c>
      <c r="G189" s="11" t="s">
        <v>875</v>
      </c>
      <c r="H189" s="11"/>
      <c r="I189" s="11" t="s">
        <v>876</v>
      </c>
      <c r="J189" s="8" t="s">
        <v>37</v>
      </c>
      <c r="K189" s="12" t="s">
        <v>45</v>
      </c>
      <c r="L189" s="8" t="s">
        <v>3</v>
      </c>
      <c r="M189" s="11" t="s">
        <v>646</v>
      </c>
      <c r="N189" s="13" t="s">
        <v>11</v>
      </c>
      <c r="O189" s="14"/>
      <c r="P189" s="14"/>
      <c r="Q189" s="14"/>
      <c r="R189" s="13"/>
    </row>
    <row r="190" customFormat="false" ht="23.85" hidden="false" customHeight="false" outlineLevel="0" collapsed="false">
      <c r="A190" s="8" t="s">
        <v>877</v>
      </c>
      <c r="B190" s="11" t="s">
        <v>25</v>
      </c>
      <c r="C190" s="11" t="s">
        <v>868</v>
      </c>
      <c r="D190" s="11" t="s">
        <v>869</v>
      </c>
      <c r="E190" s="11" t="s">
        <v>878</v>
      </c>
      <c r="F190" s="11" t="s">
        <v>117</v>
      </c>
      <c r="G190" s="11" t="s">
        <v>879</v>
      </c>
      <c r="H190" s="11"/>
      <c r="I190" s="11" t="s">
        <v>880</v>
      </c>
      <c r="J190" s="8" t="s">
        <v>38</v>
      </c>
      <c r="K190" s="12" t="s">
        <v>45</v>
      </c>
      <c r="L190" s="8" t="s">
        <v>3</v>
      </c>
      <c r="M190" s="11" t="s">
        <v>646</v>
      </c>
      <c r="N190" s="13" t="s">
        <v>11</v>
      </c>
      <c r="O190" s="14"/>
      <c r="P190" s="14"/>
      <c r="Q190" s="14"/>
      <c r="R190" s="13"/>
    </row>
    <row r="191" customFormat="false" ht="23.85" hidden="false" customHeight="false" outlineLevel="0" collapsed="false">
      <c r="A191" s="8" t="s">
        <v>881</v>
      </c>
      <c r="B191" s="11" t="s">
        <v>25</v>
      </c>
      <c r="C191" s="11" t="s">
        <v>882</v>
      </c>
      <c r="D191" s="11" t="s">
        <v>883</v>
      </c>
      <c r="E191" s="11" t="s">
        <v>884</v>
      </c>
      <c r="F191" s="11" t="s">
        <v>117</v>
      </c>
      <c r="G191" s="11" t="s">
        <v>885</v>
      </c>
      <c r="H191" s="11"/>
      <c r="I191" s="11" t="s">
        <v>886</v>
      </c>
      <c r="J191" s="8" t="s">
        <v>38</v>
      </c>
      <c r="K191" s="12" t="s">
        <v>44</v>
      </c>
      <c r="L191" s="8" t="s">
        <v>3</v>
      </c>
      <c r="M191" s="11" t="s">
        <v>646</v>
      </c>
      <c r="N191" s="13" t="s">
        <v>11</v>
      </c>
      <c r="O191" s="14"/>
      <c r="P191" s="14"/>
      <c r="Q191" s="14"/>
      <c r="R191" s="13"/>
    </row>
    <row r="192" customFormat="false" ht="23.85" hidden="false" customHeight="false" outlineLevel="0" collapsed="false">
      <c r="A192" s="8" t="s">
        <v>887</v>
      </c>
      <c r="B192" s="11" t="s">
        <v>25</v>
      </c>
      <c r="C192" s="11" t="s">
        <v>888</v>
      </c>
      <c r="D192" s="11" t="s">
        <v>889</v>
      </c>
      <c r="E192" s="11" t="s">
        <v>890</v>
      </c>
      <c r="F192" s="11" t="s">
        <v>117</v>
      </c>
      <c r="G192" s="11" t="s">
        <v>891</v>
      </c>
      <c r="H192" s="11"/>
      <c r="I192" s="11" t="s">
        <v>892</v>
      </c>
      <c r="J192" s="8" t="s">
        <v>36</v>
      </c>
      <c r="K192" s="12" t="s">
        <v>44</v>
      </c>
      <c r="L192" s="8" t="s">
        <v>4</v>
      </c>
      <c r="M192" s="11"/>
      <c r="N192" s="13" t="s">
        <v>11</v>
      </c>
      <c r="O192" s="14"/>
      <c r="P192" s="14"/>
      <c r="Q192" s="14"/>
      <c r="R192" s="13"/>
    </row>
    <row r="193" customFormat="false" ht="23.85" hidden="false" customHeight="false" outlineLevel="0" collapsed="false">
      <c r="A193" s="8" t="s">
        <v>893</v>
      </c>
      <c r="B193" s="11" t="s">
        <v>25</v>
      </c>
      <c r="C193" s="11" t="s">
        <v>894</v>
      </c>
      <c r="D193" s="11" t="s">
        <v>895</v>
      </c>
      <c r="E193" s="11" t="s">
        <v>896</v>
      </c>
      <c r="F193" s="11" t="s">
        <v>117</v>
      </c>
      <c r="G193" s="11" t="s">
        <v>897</v>
      </c>
      <c r="H193" s="11"/>
      <c r="I193" s="11" t="s">
        <v>898</v>
      </c>
      <c r="J193" s="8" t="s">
        <v>38</v>
      </c>
      <c r="K193" s="12" t="s">
        <v>43</v>
      </c>
      <c r="L193" s="8" t="s">
        <v>3</v>
      </c>
      <c r="M193" s="11" t="s">
        <v>646</v>
      </c>
      <c r="N193" s="13" t="s">
        <v>11</v>
      </c>
      <c r="O193" s="14"/>
      <c r="P193" s="14"/>
      <c r="Q193" s="14"/>
      <c r="R193" s="13"/>
    </row>
    <row r="194" customFormat="false" ht="23.85" hidden="false" customHeight="false" outlineLevel="0" collapsed="false">
      <c r="A194" s="8" t="s">
        <v>899</v>
      </c>
      <c r="B194" s="11" t="s">
        <v>25</v>
      </c>
      <c r="C194" s="11" t="s">
        <v>894</v>
      </c>
      <c r="D194" s="11" t="s">
        <v>895</v>
      </c>
      <c r="E194" s="11" t="s">
        <v>900</v>
      </c>
      <c r="F194" s="11" t="s">
        <v>117</v>
      </c>
      <c r="G194" s="11" t="s">
        <v>901</v>
      </c>
      <c r="H194" s="11"/>
      <c r="I194" s="11" t="s">
        <v>902</v>
      </c>
      <c r="J194" s="8" t="s">
        <v>38</v>
      </c>
      <c r="K194" s="12" t="s">
        <v>43</v>
      </c>
      <c r="L194" s="8" t="s">
        <v>3</v>
      </c>
      <c r="M194" s="11" t="s">
        <v>646</v>
      </c>
      <c r="N194" s="13" t="s">
        <v>11</v>
      </c>
      <c r="O194" s="14"/>
      <c r="P194" s="14"/>
      <c r="Q194" s="14"/>
      <c r="R194" s="13"/>
    </row>
    <row r="195" customFormat="false" ht="23.85" hidden="false" customHeight="false" outlineLevel="0" collapsed="false">
      <c r="A195" s="8" t="s">
        <v>903</v>
      </c>
      <c r="B195" s="11" t="s">
        <v>25</v>
      </c>
      <c r="C195" s="11" t="s">
        <v>894</v>
      </c>
      <c r="D195" s="11" t="s">
        <v>895</v>
      </c>
      <c r="E195" s="11" t="s">
        <v>904</v>
      </c>
      <c r="F195" s="11" t="s">
        <v>117</v>
      </c>
      <c r="G195" s="11" t="s">
        <v>905</v>
      </c>
      <c r="H195" s="11"/>
      <c r="I195" s="11" t="s">
        <v>906</v>
      </c>
      <c r="J195" s="8" t="s">
        <v>38</v>
      </c>
      <c r="K195" s="12" t="s">
        <v>44</v>
      </c>
      <c r="L195" s="8" t="s">
        <v>3</v>
      </c>
      <c r="M195" s="11" t="s">
        <v>646</v>
      </c>
      <c r="N195" s="13" t="s">
        <v>11</v>
      </c>
      <c r="O195" s="14"/>
      <c r="P195" s="14"/>
      <c r="Q195" s="14"/>
      <c r="R195" s="13"/>
    </row>
    <row r="196" customFormat="false" ht="23.85" hidden="false" customHeight="false" outlineLevel="0" collapsed="false">
      <c r="A196" s="8" t="s">
        <v>907</v>
      </c>
      <c r="B196" s="11" t="s">
        <v>25</v>
      </c>
      <c r="C196" s="11" t="s">
        <v>894</v>
      </c>
      <c r="D196" s="11" t="s">
        <v>895</v>
      </c>
      <c r="E196" s="11" t="s">
        <v>908</v>
      </c>
      <c r="F196" s="11" t="s">
        <v>117</v>
      </c>
      <c r="G196" s="11" t="s">
        <v>909</v>
      </c>
      <c r="H196" s="11" t="s">
        <v>910</v>
      </c>
      <c r="I196" s="11" t="s">
        <v>911</v>
      </c>
      <c r="J196" s="8" t="s">
        <v>38</v>
      </c>
      <c r="K196" s="12" t="s">
        <v>43</v>
      </c>
      <c r="L196" s="8" t="s">
        <v>3</v>
      </c>
      <c r="M196" s="11" t="s">
        <v>646</v>
      </c>
      <c r="N196" s="13" t="s">
        <v>11</v>
      </c>
      <c r="O196" s="14"/>
      <c r="P196" s="14"/>
      <c r="Q196" s="14"/>
      <c r="R196" s="13"/>
    </row>
    <row r="197" customFormat="false" ht="23.85" hidden="false" customHeight="false" outlineLevel="0" collapsed="false">
      <c r="A197" s="8" t="s">
        <v>912</v>
      </c>
      <c r="B197" s="11" t="s">
        <v>25</v>
      </c>
      <c r="C197" s="11" t="s">
        <v>894</v>
      </c>
      <c r="D197" s="11" t="s">
        <v>895</v>
      </c>
      <c r="E197" s="11" t="s">
        <v>913</v>
      </c>
      <c r="F197" s="11" t="s">
        <v>117</v>
      </c>
      <c r="G197" s="11" t="s">
        <v>914</v>
      </c>
      <c r="H197" s="11" t="s">
        <v>915</v>
      </c>
      <c r="I197" s="11" t="s">
        <v>916</v>
      </c>
      <c r="J197" s="8" t="s">
        <v>37</v>
      </c>
      <c r="K197" s="12" t="s">
        <v>44</v>
      </c>
      <c r="L197" s="8" t="s">
        <v>3</v>
      </c>
      <c r="M197" s="11" t="s">
        <v>646</v>
      </c>
      <c r="N197" s="13" t="s">
        <v>11</v>
      </c>
      <c r="O197" s="14"/>
      <c r="P197" s="14"/>
      <c r="Q197" s="14"/>
      <c r="R197" s="13"/>
    </row>
    <row r="198" customFormat="false" ht="23.85" hidden="false" customHeight="false" outlineLevel="0" collapsed="false">
      <c r="A198" s="8" t="s">
        <v>917</v>
      </c>
      <c r="B198" s="11" t="s">
        <v>25</v>
      </c>
      <c r="C198" s="11" t="s">
        <v>894</v>
      </c>
      <c r="D198" s="11" t="s">
        <v>895</v>
      </c>
      <c r="E198" s="11" t="s">
        <v>918</v>
      </c>
      <c r="F198" s="11" t="s">
        <v>117</v>
      </c>
      <c r="G198" s="11" t="s">
        <v>919</v>
      </c>
      <c r="H198" s="11"/>
      <c r="I198" s="11" t="s">
        <v>920</v>
      </c>
      <c r="J198" s="8" t="s">
        <v>37</v>
      </c>
      <c r="K198" s="12" t="s">
        <v>45</v>
      </c>
      <c r="L198" s="8" t="s">
        <v>3</v>
      </c>
      <c r="M198" s="11" t="s">
        <v>646</v>
      </c>
      <c r="N198" s="13" t="s">
        <v>11</v>
      </c>
      <c r="O198" s="14"/>
      <c r="P198" s="14"/>
      <c r="Q198" s="14"/>
      <c r="R198" s="13"/>
    </row>
    <row r="199" customFormat="false" ht="23.85" hidden="false" customHeight="false" outlineLevel="0" collapsed="false">
      <c r="A199" s="8" t="s">
        <v>921</v>
      </c>
      <c r="B199" s="11" t="s">
        <v>25</v>
      </c>
      <c r="C199" s="11" t="s">
        <v>894</v>
      </c>
      <c r="D199" s="11" t="s">
        <v>895</v>
      </c>
      <c r="E199" s="11" t="s">
        <v>922</v>
      </c>
      <c r="F199" s="11" t="s">
        <v>117</v>
      </c>
      <c r="G199" s="11" t="s">
        <v>923</v>
      </c>
      <c r="H199" s="11"/>
      <c r="I199" s="11" t="s">
        <v>924</v>
      </c>
      <c r="J199" s="8" t="s">
        <v>38</v>
      </c>
      <c r="K199" s="12" t="s">
        <v>45</v>
      </c>
      <c r="L199" s="8" t="s">
        <v>4</v>
      </c>
      <c r="M199" s="11"/>
      <c r="N199" s="13" t="s">
        <v>11</v>
      </c>
      <c r="O199" s="14"/>
      <c r="P199" s="14"/>
      <c r="Q199" s="14"/>
      <c r="R199" s="13"/>
    </row>
    <row r="200" customFormat="false" ht="23.85" hidden="false" customHeight="false" outlineLevel="0" collapsed="false">
      <c r="A200" s="8" t="s">
        <v>925</v>
      </c>
      <c r="B200" s="11" t="s">
        <v>25</v>
      </c>
      <c r="C200" s="11" t="s">
        <v>926</v>
      </c>
      <c r="D200" s="11" t="s">
        <v>927</v>
      </c>
      <c r="E200" s="11" t="s">
        <v>928</v>
      </c>
      <c r="F200" s="11" t="s">
        <v>117</v>
      </c>
      <c r="G200" s="11" t="s">
        <v>929</v>
      </c>
      <c r="H200" s="11" t="s">
        <v>930</v>
      </c>
      <c r="I200" s="11" t="s">
        <v>931</v>
      </c>
      <c r="J200" s="8" t="s">
        <v>38</v>
      </c>
      <c r="K200" s="12" t="s">
        <v>44</v>
      </c>
      <c r="L200" s="8" t="s">
        <v>3</v>
      </c>
      <c r="M200" s="11" t="s">
        <v>646</v>
      </c>
      <c r="N200" s="13" t="s">
        <v>11</v>
      </c>
      <c r="O200" s="14"/>
      <c r="P200" s="14"/>
      <c r="Q200" s="14"/>
      <c r="R200" s="13"/>
    </row>
    <row r="201" customFormat="false" ht="23.85" hidden="false" customHeight="false" outlineLevel="0" collapsed="false">
      <c r="A201" s="8" t="s">
        <v>932</v>
      </c>
      <c r="B201" s="11" t="s">
        <v>25</v>
      </c>
      <c r="C201" s="11" t="s">
        <v>926</v>
      </c>
      <c r="D201" s="11" t="s">
        <v>927</v>
      </c>
      <c r="E201" s="11" t="s">
        <v>933</v>
      </c>
      <c r="F201" s="11" t="s">
        <v>117</v>
      </c>
      <c r="G201" s="11" t="s">
        <v>934</v>
      </c>
      <c r="H201" s="11"/>
      <c r="I201" s="11" t="s">
        <v>935</v>
      </c>
      <c r="J201" s="8" t="s">
        <v>37</v>
      </c>
      <c r="K201" s="12" t="s">
        <v>45</v>
      </c>
      <c r="L201" s="8" t="s">
        <v>3</v>
      </c>
      <c r="M201" s="11" t="s">
        <v>646</v>
      </c>
      <c r="N201" s="13" t="s">
        <v>11</v>
      </c>
      <c r="O201" s="14"/>
      <c r="P201" s="14"/>
      <c r="Q201" s="14"/>
      <c r="R201" s="13"/>
    </row>
    <row r="202" customFormat="false" ht="23.85" hidden="false" customHeight="false" outlineLevel="0" collapsed="false">
      <c r="A202" s="8" t="s">
        <v>936</v>
      </c>
      <c r="B202" s="11" t="s">
        <v>25</v>
      </c>
      <c r="C202" s="11" t="s">
        <v>937</v>
      </c>
      <c r="D202" s="11" t="s">
        <v>938</v>
      </c>
      <c r="E202" s="11" t="s">
        <v>939</v>
      </c>
      <c r="F202" s="11" t="s">
        <v>117</v>
      </c>
      <c r="G202" s="11" t="s">
        <v>940</v>
      </c>
      <c r="H202" s="11"/>
      <c r="I202" s="11" t="s">
        <v>941</v>
      </c>
      <c r="J202" s="8" t="s">
        <v>38</v>
      </c>
      <c r="K202" s="12" t="s">
        <v>45</v>
      </c>
      <c r="L202" s="8" t="s">
        <v>3</v>
      </c>
      <c r="M202" s="11" t="s">
        <v>646</v>
      </c>
      <c r="N202" s="13" t="s">
        <v>11</v>
      </c>
      <c r="O202" s="14"/>
      <c r="P202" s="14"/>
      <c r="Q202" s="14"/>
      <c r="R202" s="13"/>
    </row>
    <row r="203" customFormat="false" ht="23.85" hidden="false" customHeight="false" outlineLevel="0" collapsed="false">
      <c r="A203" s="8" t="s">
        <v>942</v>
      </c>
      <c r="B203" s="11" t="s">
        <v>25</v>
      </c>
      <c r="C203" s="11" t="s">
        <v>937</v>
      </c>
      <c r="D203" s="11" t="s">
        <v>938</v>
      </c>
      <c r="E203" s="11" t="s">
        <v>943</v>
      </c>
      <c r="F203" s="11" t="s">
        <v>117</v>
      </c>
      <c r="G203" s="11" t="s">
        <v>944</v>
      </c>
      <c r="H203" s="11"/>
      <c r="I203" s="11" t="s">
        <v>945</v>
      </c>
      <c r="J203" s="8" t="s">
        <v>38</v>
      </c>
      <c r="K203" s="12" t="s">
        <v>45</v>
      </c>
      <c r="L203" s="8" t="s">
        <v>3</v>
      </c>
      <c r="M203" s="11" t="s">
        <v>646</v>
      </c>
      <c r="N203" s="13" t="s">
        <v>11</v>
      </c>
      <c r="O203" s="14"/>
      <c r="P203" s="14"/>
      <c r="Q203" s="14"/>
      <c r="R203" s="13"/>
    </row>
    <row r="204" customFormat="false" ht="23.85" hidden="false" customHeight="false" outlineLevel="0" collapsed="false">
      <c r="A204" s="8" t="s">
        <v>946</v>
      </c>
      <c r="B204" s="11" t="s">
        <v>25</v>
      </c>
      <c r="C204" s="11" t="s">
        <v>947</v>
      </c>
      <c r="D204" s="11" t="s">
        <v>948</v>
      </c>
      <c r="E204" s="11" t="s">
        <v>949</v>
      </c>
      <c r="F204" s="11" t="s">
        <v>117</v>
      </c>
      <c r="G204" s="11" t="s">
        <v>950</v>
      </c>
      <c r="H204" s="11"/>
      <c r="I204" s="11" t="s">
        <v>951</v>
      </c>
      <c r="J204" s="8" t="s">
        <v>38</v>
      </c>
      <c r="K204" s="12" t="s">
        <v>44</v>
      </c>
      <c r="L204" s="8" t="s">
        <v>3</v>
      </c>
      <c r="M204" s="11" t="s">
        <v>545</v>
      </c>
      <c r="N204" s="13" t="s">
        <v>11</v>
      </c>
      <c r="O204" s="14"/>
      <c r="P204" s="14"/>
      <c r="Q204" s="14"/>
      <c r="R204" s="13"/>
    </row>
    <row r="205" customFormat="false" ht="23.85" hidden="false" customHeight="false" outlineLevel="0" collapsed="false">
      <c r="A205" s="8" t="s">
        <v>952</v>
      </c>
      <c r="B205" s="11" t="s">
        <v>25</v>
      </c>
      <c r="C205" s="11" t="s">
        <v>953</v>
      </c>
      <c r="D205" s="11" t="s">
        <v>954</v>
      </c>
      <c r="E205" s="11" t="s">
        <v>955</v>
      </c>
      <c r="F205" s="11" t="s">
        <v>117</v>
      </c>
      <c r="G205" s="11" t="s">
        <v>956</v>
      </c>
      <c r="H205" s="11"/>
      <c r="I205" s="11" t="s">
        <v>957</v>
      </c>
      <c r="J205" s="8" t="s">
        <v>38</v>
      </c>
      <c r="K205" s="12" t="s">
        <v>44</v>
      </c>
      <c r="L205" s="8" t="s">
        <v>3</v>
      </c>
      <c r="M205" s="11" t="s">
        <v>83</v>
      </c>
      <c r="N205" s="13" t="s">
        <v>11</v>
      </c>
      <c r="O205" s="14"/>
      <c r="P205" s="14"/>
      <c r="Q205" s="14"/>
      <c r="R205" s="13"/>
    </row>
    <row r="206" customFormat="false" ht="23.85" hidden="false" customHeight="false" outlineLevel="0" collapsed="false">
      <c r="A206" s="8" t="s">
        <v>958</v>
      </c>
      <c r="B206" s="11" t="s">
        <v>25</v>
      </c>
      <c r="C206" s="11" t="s">
        <v>959</v>
      </c>
      <c r="D206" s="11" t="s">
        <v>960</v>
      </c>
      <c r="E206" s="11" t="s">
        <v>961</v>
      </c>
      <c r="F206" s="11" t="s">
        <v>117</v>
      </c>
      <c r="G206" s="11" t="s">
        <v>962</v>
      </c>
      <c r="H206" s="11"/>
      <c r="I206" s="11" t="s">
        <v>963</v>
      </c>
      <c r="J206" s="8" t="s">
        <v>38</v>
      </c>
      <c r="K206" s="12" t="s">
        <v>43</v>
      </c>
      <c r="L206" s="8" t="s">
        <v>3</v>
      </c>
      <c r="M206" s="11" t="s">
        <v>83</v>
      </c>
      <c r="N206" s="13" t="s">
        <v>11</v>
      </c>
      <c r="O206" s="14"/>
      <c r="P206" s="14"/>
      <c r="Q206" s="14"/>
      <c r="R206" s="13"/>
    </row>
    <row r="207" customFormat="false" ht="23.85" hidden="false" customHeight="false" outlineLevel="0" collapsed="false">
      <c r="A207" s="8" t="s">
        <v>964</v>
      </c>
      <c r="B207" s="11" t="s">
        <v>25</v>
      </c>
      <c r="C207" s="11" t="s">
        <v>965</v>
      </c>
      <c r="D207" s="11" t="s">
        <v>966</v>
      </c>
      <c r="E207" s="11" t="s">
        <v>967</v>
      </c>
      <c r="F207" s="11" t="s">
        <v>117</v>
      </c>
      <c r="G207" s="11" t="s">
        <v>968</v>
      </c>
      <c r="H207" s="11"/>
      <c r="I207" s="11" t="s">
        <v>969</v>
      </c>
      <c r="J207" s="8" t="s">
        <v>38</v>
      </c>
      <c r="K207" s="12" t="s">
        <v>43</v>
      </c>
      <c r="L207" s="8" t="s">
        <v>3</v>
      </c>
      <c r="M207" s="11" t="s">
        <v>646</v>
      </c>
      <c r="N207" s="13" t="s">
        <v>11</v>
      </c>
      <c r="O207" s="14"/>
      <c r="P207" s="14"/>
      <c r="Q207" s="14"/>
      <c r="R207" s="13"/>
    </row>
    <row r="208" customFormat="false" ht="23.85" hidden="false" customHeight="false" outlineLevel="0" collapsed="false">
      <c r="A208" s="8" t="s">
        <v>970</v>
      </c>
      <c r="B208" s="11" t="s">
        <v>25</v>
      </c>
      <c r="C208" s="11" t="s">
        <v>971</v>
      </c>
      <c r="D208" s="11" t="s">
        <v>630</v>
      </c>
      <c r="E208" s="11" t="s">
        <v>972</v>
      </c>
      <c r="F208" s="11" t="s">
        <v>117</v>
      </c>
      <c r="G208" s="11" t="s">
        <v>973</v>
      </c>
      <c r="H208" s="11"/>
      <c r="I208" s="11" t="s">
        <v>974</v>
      </c>
      <c r="J208" s="8" t="s">
        <v>38</v>
      </c>
      <c r="K208" s="12" t="s">
        <v>44</v>
      </c>
      <c r="L208" s="8" t="s">
        <v>4</v>
      </c>
      <c r="M208" s="11"/>
      <c r="N208" s="13" t="s">
        <v>11</v>
      </c>
      <c r="O208" s="14"/>
      <c r="P208" s="14"/>
      <c r="Q208" s="14"/>
      <c r="R208" s="13"/>
    </row>
    <row r="209" customFormat="false" ht="35.05" hidden="false" customHeight="false" outlineLevel="0" collapsed="false">
      <c r="A209" s="8" t="s">
        <v>975</v>
      </c>
      <c r="B209" s="11" t="s">
        <v>26</v>
      </c>
      <c r="C209" s="11" t="s">
        <v>976</v>
      </c>
      <c r="D209" s="11" t="s">
        <v>115</v>
      </c>
      <c r="E209" s="11" t="s">
        <v>977</v>
      </c>
      <c r="F209" s="11" t="s">
        <v>117</v>
      </c>
      <c r="G209" s="11" t="s">
        <v>978</v>
      </c>
      <c r="H209" s="11"/>
      <c r="I209" s="11" t="s">
        <v>979</v>
      </c>
      <c r="J209" s="8" t="s">
        <v>38</v>
      </c>
      <c r="K209" s="12" t="s">
        <v>43</v>
      </c>
      <c r="L209" s="8" t="s">
        <v>3</v>
      </c>
      <c r="M209" s="11" t="s">
        <v>545</v>
      </c>
      <c r="N209" s="13" t="s">
        <v>11</v>
      </c>
      <c r="O209" s="14"/>
      <c r="P209" s="14"/>
      <c r="Q209" s="14"/>
      <c r="R209" s="13"/>
    </row>
    <row r="210" customFormat="false" ht="23.85" hidden="false" customHeight="false" outlineLevel="0" collapsed="false">
      <c r="A210" s="8" t="s">
        <v>980</v>
      </c>
      <c r="B210" s="11" t="s">
        <v>26</v>
      </c>
      <c r="C210" s="11" t="s">
        <v>981</v>
      </c>
      <c r="D210" s="11" t="s">
        <v>115</v>
      </c>
      <c r="E210" s="11" t="s">
        <v>982</v>
      </c>
      <c r="F210" s="11" t="s">
        <v>117</v>
      </c>
      <c r="G210" s="11" t="s">
        <v>983</v>
      </c>
      <c r="H210" s="11"/>
      <c r="I210" s="11" t="s">
        <v>984</v>
      </c>
      <c r="J210" s="8" t="s">
        <v>38</v>
      </c>
      <c r="K210" s="12" t="s">
        <v>44</v>
      </c>
      <c r="L210" s="8" t="s">
        <v>3</v>
      </c>
      <c r="M210" s="11" t="s">
        <v>438</v>
      </c>
      <c r="N210" s="13" t="s">
        <v>11</v>
      </c>
      <c r="O210" s="14"/>
      <c r="P210" s="14"/>
      <c r="Q210" s="14"/>
      <c r="R210" s="13"/>
    </row>
    <row r="211" customFormat="false" ht="15" hidden="false" customHeight="false" outlineLevel="0" collapsed="false">
      <c r="A211" s="8" t="s">
        <v>985</v>
      </c>
      <c r="B211" s="11" t="s">
        <v>26</v>
      </c>
      <c r="C211" s="11" t="s">
        <v>986</v>
      </c>
      <c r="D211" s="11" t="s">
        <v>115</v>
      </c>
      <c r="E211" s="11" t="s">
        <v>987</v>
      </c>
      <c r="F211" s="11" t="s">
        <v>117</v>
      </c>
      <c r="G211" s="11" t="s">
        <v>988</v>
      </c>
      <c r="H211" s="11"/>
      <c r="I211" s="11" t="s">
        <v>989</v>
      </c>
      <c r="J211" s="8" t="s">
        <v>38</v>
      </c>
      <c r="K211" s="12" t="s">
        <v>44</v>
      </c>
      <c r="L211" s="8" t="s">
        <v>3</v>
      </c>
      <c r="M211" s="11" t="s">
        <v>545</v>
      </c>
      <c r="N211" s="13" t="s">
        <v>11</v>
      </c>
      <c r="O211" s="14"/>
      <c r="P211" s="14"/>
      <c r="Q211" s="14"/>
      <c r="R211" s="13"/>
    </row>
    <row r="212" customFormat="false" ht="15" hidden="false" customHeight="false" outlineLevel="0" collapsed="false">
      <c r="A212" s="8" t="s">
        <v>990</v>
      </c>
      <c r="B212" s="11" t="s">
        <v>26</v>
      </c>
      <c r="C212" s="11" t="s">
        <v>36</v>
      </c>
      <c r="D212" s="11" t="s">
        <v>115</v>
      </c>
      <c r="E212" s="11" t="s">
        <v>991</v>
      </c>
      <c r="F212" s="11" t="s">
        <v>117</v>
      </c>
      <c r="G212" s="11" t="s">
        <v>992</v>
      </c>
      <c r="H212" s="11"/>
      <c r="I212" s="11" t="s">
        <v>993</v>
      </c>
      <c r="J212" s="8" t="s">
        <v>36</v>
      </c>
      <c r="K212" s="12" t="s">
        <v>45</v>
      </c>
      <c r="L212" s="8" t="s">
        <v>4</v>
      </c>
      <c r="M212" s="11"/>
      <c r="N212" s="13" t="s">
        <v>11</v>
      </c>
      <c r="O212" s="14"/>
      <c r="P212" s="14"/>
      <c r="Q212" s="14"/>
      <c r="R212" s="13"/>
    </row>
    <row r="213" customFormat="false" ht="15" hidden="false" customHeight="false" outlineLevel="0" collapsed="false">
      <c r="A213" s="8" t="s">
        <v>994</v>
      </c>
      <c r="B213" s="11" t="s">
        <v>26</v>
      </c>
      <c r="C213" s="11" t="s">
        <v>995</v>
      </c>
      <c r="D213" s="11" t="s">
        <v>115</v>
      </c>
      <c r="E213" s="11" t="s">
        <v>996</v>
      </c>
      <c r="F213" s="11" t="s">
        <v>764</v>
      </c>
      <c r="G213" s="11" t="s">
        <v>997</v>
      </c>
      <c r="H213" s="11"/>
      <c r="I213" s="11" t="s">
        <v>998</v>
      </c>
      <c r="J213" s="8" t="s">
        <v>41</v>
      </c>
      <c r="K213" s="12" t="s">
        <v>44</v>
      </c>
      <c r="L213" s="8" t="s">
        <v>3</v>
      </c>
      <c r="M213" s="11" t="s">
        <v>815</v>
      </c>
      <c r="N213" s="13" t="s">
        <v>11</v>
      </c>
      <c r="O213" s="14"/>
      <c r="P213" s="14"/>
      <c r="Q213" s="14"/>
      <c r="R213" s="13"/>
    </row>
    <row r="214" customFormat="false" ht="23.85" hidden="false" customHeight="false" outlineLevel="0" collapsed="false">
      <c r="A214" s="8" t="s">
        <v>999</v>
      </c>
      <c r="B214" s="11" t="s">
        <v>27</v>
      </c>
      <c r="C214" s="11" t="s">
        <v>1000</v>
      </c>
      <c r="D214" s="11" t="s">
        <v>1001</v>
      </c>
      <c r="E214" s="11" t="s">
        <v>1002</v>
      </c>
      <c r="F214" s="11" t="s">
        <v>1003</v>
      </c>
      <c r="G214" s="11" t="s">
        <v>1004</v>
      </c>
      <c r="H214" s="11"/>
      <c r="I214" s="11" t="s">
        <v>1005</v>
      </c>
      <c r="J214" s="8" t="s">
        <v>38</v>
      </c>
      <c r="K214" s="12" t="s">
        <v>43</v>
      </c>
      <c r="L214" s="8" t="s">
        <v>3</v>
      </c>
      <c r="M214" s="11" t="s">
        <v>83</v>
      </c>
      <c r="N214" s="13" t="s">
        <v>11</v>
      </c>
      <c r="O214" s="14"/>
      <c r="P214" s="14"/>
      <c r="Q214" s="14"/>
      <c r="R214" s="13"/>
    </row>
    <row r="215" customFormat="false" ht="23.85" hidden="false" customHeight="false" outlineLevel="0" collapsed="false">
      <c r="A215" s="8" t="s">
        <v>1006</v>
      </c>
      <c r="B215" s="11" t="s">
        <v>27</v>
      </c>
      <c r="C215" s="11" t="s">
        <v>1000</v>
      </c>
      <c r="D215" s="11" t="s">
        <v>1001</v>
      </c>
      <c r="E215" s="11" t="s">
        <v>1007</v>
      </c>
      <c r="F215" s="11" t="s">
        <v>1003</v>
      </c>
      <c r="G215" s="11" t="s">
        <v>3</v>
      </c>
      <c r="H215" s="11"/>
      <c r="I215" s="11" t="s">
        <v>1008</v>
      </c>
      <c r="J215" s="8" t="s">
        <v>38</v>
      </c>
      <c r="K215" s="12" t="s">
        <v>43</v>
      </c>
      <c r="L215" s="8" t="s">
        <v>3</v>
      </c>
      <c r="M215" s="11" t="s">
        <v>83</v>
      </c>
      <c r="N215" s="13" t="s">
        <v>11</v>
      </c>
      <c r="O215" s="14"/>
      <c r="P215" s="14"/>
      <c r="Q215" s="14"/>
      <c r="R215" s="13"/>
    </row>
    <row r="216" customFormat="false" ht="23.85" hidden="false" customHeight="false" outlineLevel="0" collapsed="false">
      <c r="A216" s="8" t="s">
        <v>1009</v>
      </c>
      <c r="B216" s="11" t="s">
        <v>27</v>
      </c>
      <c r="C216" s="11" t="s">
        <v>1000</v>
      </c>
      <c r="D216" s="11" t="s">
        <v>1001</v>
      </c>
      <c r="E216" s="11" t="s">
        <v>1010</v>
      </c>
      <c r="F216" s="11" t="s">
        <v>1003</v>
      </c>
      <c r="G216" s="11" t="s">
        <v>3</v>
      </c>
      <c r="H216" s="11"/>
      <c r="I216" s="11" t="s">
        <v>1011</v>
      </c>
      <c r="J216" s="8" t="s">
        <v>38</v>
      </c>
      <c r="K216" s="12" t="s">
        <v>44</v>
      </c>
      <c r="L216" s="8" t="s">
        <v>3</v>
      </c>
      <c r="M216" s="11" t="s">
        <v>83</v>
      </c>
      <c r="N216" s="13" t="s">
        <v>11</v>
      </c>
      <c r="O216" s="14"/>
      <c r="P216" s="14"/>
      <c r="Q216" s="14"/>
      <c r="R216" s="13"/>
    </row>
    <row r="217" customFormat="false" ht="23.85" hidden="false" customHeight="false" outlineLevel="0" collapsed="false">
      <c r="A217" s="8" t="s">
        <v>1012</v>
      </c>
      <c r="B217" s="11" t="s">
        <v>27</v>
      </c>
      <c r="C217" s="11" t="s">
        <v>1000</v>
      </c>
      <c r="D217" s="11" t="s">
        <v>1001</v>
      </c>
      <c r="E217" s="11" t="s">
        <v>1013</v>
      </c>
      <c r="F217" s="11" t="s">
        <v>1003</v>
      </c>
      <c r="G217" s="11" t="s">
        <v>1014</v>
      </c>
      <c r="H217" s="11"/>
      <c r="I217" s="11" t="s">
        <v>1015</v>
      </c>
      <c r="J217" s="8" t="s">
        <v>41</v>
      </c>
      <c r="K217" s="12" t="s">
        <v>44</v>
      </c>
      <c r="L217" s="8" t="s">
        <v>3</v>
      </c>
      <c r="M217" s="11" t="s">
        <v>83</v>
      </c>
      <c r="N217" s="13" t="s">
        <v>11</v>
      </c>
      <c r="O217" s="14"/>
      <c r="P217" s="14"/>
      <c r="Q217" s="14"/>
      <c r="R217" s="13"/>
    </row>
    <row r="218" customFormat="false" ht="23.85" hidden="false" customHeight="false" outlineLevel="0" collapsed="false">
      <c r="A218" s="8" t="s">
        <v>1016</v>
      </c>
      <c r="B218" s="11" t="s">
        <v>27</v>
      </c>
      <c r="C218" s="11" t="s">
        <v>1000</v>
      </c>
      <c r="D218" s="11" t="s">
        <v>1001</v>
      </c>
      <c r="E218" s="11" t="s">
        <v>1017</v>
      </c>
      <c r="F218" s="11" t="s">
        <v>1003</v>
      </c>
      <c r="G218" s="11" t="s">
        <v>3</v>
      </c>
      <c r="H218" s="11"/>
      <c r="I218" s="11" t="s">
        <v>1018</v>
      </c>
      <c r="J218" s="8" t="s">
        <v>31</v>
      </c>
      <c r="K218" s="12" t="s">
        <v>45</v>
      </c>
      <c r="L218" s="8" t="s">
        <v>3</v>
      </c>
      <c r="M218" s="11" t="s">
        <v>83</v>
      </c>
      <c r="N218" s="13" t="s">
        <v>11</v>
      </c>
      <c r="O218" s="14"/>
      <c r="P218" s="14"/>
      <c r="Q218" s="14"/>
      <c r="R218" s="13"/>
    </row>
    <row r="219" customFormat="false" ht="23.85" hidden="false" customHeight="false" outlineLevel="0" collapsed="false">
      <c r="A219" s="8" t="s">
        <v>1019</v>
      </c>
      <c r="B219" s="11" t="s">
        <v>27</v>
      </c>
      <c r="C219" s="11" t="s">
        <v>1000</v>
      </c>
      <c r="D219" s="11" t="s">
        <v>1001</v>
      </c>
      <c r="E219" s="11" t="s">
        <v>1020</v>
      </c>
      <c r="F219" s="11" t="s">
        <v>1003</v>
      </c>
      <c r="G219" s="11" t="s">
        <v>3</v>
      </c>
      <c r="H219" s="11"/>
      <c r="I219" s="11" t="s">
        <v>1021</v>
      </c>
      <c r="J219" s="8" t="s">
        <v>36</v>
      </c>
      <c r="K219" s="12" t="s">
        <v>44</v>
      </c>
      <c r="L219" s="8" t="s">
        <v>3</v>
      </c>
      <c r="M219" s="11" t="s">
        <v>83</v>
      </c>
      <c r="N219" s="13" t="s">
        <v>11</v>
      </c>
      <c r="O219" s="14"/>
      <c r="P219" s="14"/>
      <c r="Q219" s="14"/>
      <c r="R219" s="13"/>
    </row>
    <row r="220" customFormat="false" ht="23.85" hidden="false" customHeight="false" outlineLevel="0" collapsed="false">
      <c r="A220" s="8" t="s">
        <v>1022</v>
      </c>
      <c r="B220" s="11" t="s">
        <v>27</v>
      </c>
      <c r="C220" s="11" t="s">
        <v>1000</v>
      </c>
      <c r="D220" s="11" t="s">
        <v>1001</v>
      </c>
      <c r="E220" s="11" t="s">
        <v>1023</v>
      </c>
      <c r="F220" s="11" t="s">
        <v>1003</v>
      </c>
      <c r="G220" s="11" t="s">
        <v>3</v>
      </c>
      <c r="H220" s="11"/>
      <c r="I220" s="11" t="s">
        <v>1024</v>
      </c>
      <c r="J220" s="8" t="s">
        <v>41</v>
      </c>
      <c r="K220" s="12" t="s">
        <v>44</v>
      </c>
      <c r="L220" s="8" t="s">
        <v>3</v>
      </c>
      <c r="M220" s="11" t="s">
        <v>83</v>
      </c>
      <c r="N220" s="13" t="s">
        <v>11</v>
      </c>
      <c r="O220" s="14"/>
      <c r="P220" s="14"/>
      <c r="Q220" s="14"/>
      <c r="R220" s="13"/>
    </row>
    <row r="221" customFormat="false" ht="23.85" hidden="false" customHeight="false" outlineLevel="0" collapsed="false">
      <c r="A221" s="8" t="s">
        <v>1025</v>
      </c>
      <c r="B221" s="11" t="s">
        <v>27</v>
      </c>
      <c r="C221" s="11" t="s">
        <v>976</v>
      </c>
      <c r="D221" s="11" t="s">
        <v>1001</v>
      </c>
      <c r="E221" s="11" t="s">
        <v>1026</v>
      </c>
      <c r="F221" s="11" t="s">
        <v>1003</v>
      </c>
      <c r="G221" s="11" t="s">
        <v>1027</v>
      </c>
      <c r="H221" s="11"/>
      <c r="I221" s="11" t="s">
        <v>1028</v>
      </c>
      <c r="J221" s="8" t="s">
        <v>38</v>
      </c>
      <c r="K221" s="12" t="s">
        <v>43</v>
      </c>
      <c r="L221" s="8" t="s">
        <v>3</v>
      </c>
      <c r="M221" s="11" t="s">
        <v>545</v>
      </c>
      <c r="N221" s="13" t="s">
        <v>11</v>
      </c>
      <c r="O221" s="14"/>
      <c r="P221" s="14"/>
      <c r="Q221" s="14"/>
      <c r="R221" s="13"/>
    </row>
    <row r="222" customFormat="false" ht="23.85" hidden="false" customHeight="false" outlineLevel="0" collapsed="false">
      <c r="A222" s="8" t="s">
        <v>1029</v>
      </c>
      <c r="B222" s="11" t="s">
        <v>27</v>
      </c>
      <c r="C222" s="11" t="s">
        <v>1030</v>
      </c>
      <c r="D222" s="11" t="s">
        <v>1001</v>
      </c>
      <c r="E222" s="11" t="s">
        <v>1031</v>
      </c>
      <c r="F222" s="11" t="s">
        <v>1003</v>
      </c>
      <c r="G222" s="11" t="s">
        <v>1032</v>
      </c>
      <c r="H222" s="11"/>
      <c r="I222" s="11" t="s">
        <v>1033</v>
      </c>
      <c r="J222" s="8" t="s">
        <v>38</v>
      </c>
      <c r="K222" s="12" t="s">
        <v>43</v>
      </c>
      <c r="L222" s="8" t="s">
        <v>3</v>
      </c>
      <c r="M222" s="11" t="s">
        <v>163</v>
      </c>
      <c r="N222" s="13" t="s">
        <v>11</v>
      </c>
      <c r="O222" s="14"/>
      <c r="P222" s="14"/>
      <c r="Q222" s="14"/>
      <c r="R222" s="13"/>
    </row>
    <row r="223" customFormat="false" ht="23.85" hidden="false" customHeight="false" outlineLevel="0" collapsed="false">
      <c r="A223" s="8" t="s">
        <v>1034</v>
      </c>
      <c r="B223" s="11" t="s">
        <v>27</v>
      </c>
      <c r="C223" s="11" t="s">
        <v>1035</v>
      </c>
      <c r="D223" s="11" t="s">
        <v>1001</v>
      </c>
      <c r="E223" s="11" t="s">
        <v>1036</v>
      </c>
      <c r="F223" s="11" t="s">
        <v>1003</v>
      </c>
      <c r="G223" s="11" t="s">
        <v>1037</v>
      </c>
      <c r="H223" s="11"/>
      <c r="I223" s="11" t="s">
        <v>1038</v>
      </c>
      <c r="J223" s="8" t="s">
        <v>40</v>
      </c>
      <c r="K223" s="12" t="s">
        <v>43</v>
      </c>
      <c r="L223" s="8" t="s">
        <v>3</v>
      </c>
      <c r="M223" s="11" t="s">
        <v>163</v>
      </c>
      <c r="N223" s="13" t="s">
        <v>11</v>
      </c>
      <c r="O223" s="14"/>
      <c r="P223" s="14"/>
      <c r="Q223" s="14"/>
      <c r="R223" s="13"/>
    </row>
    <row r="224" customFormat="false" ht="23.85" hidden="false" customHeight="false" outlineLevel="0" collapsed="false">
      <c r="A224" s="8" t="s">
        <v>1039</v>
      </c>
      <c r="B224" s="11" t="s">
        <v>27</v>
      </c>
      <c r="C224" s="11" t="s">
        <v>34</v>
      </c>
      <c r="D224" s="11" t="s">
        <v>1001</v>
      </c>
      <c r="E224" s="11" t="s">
        <v>1040</v>
      </c>
      <c r="F224" s="11" t="s">
        <v>1003</v>
      </c>
      <c r="G224" s="11" t="s">
        <v>3</v>
      </c>
      <c r="H224" s="11"/>
      <c r="I224" s="11" t="s">
        <v>1041</v>
      </c>
      <c r="J224" s="8" t="s">
        <v>34</v>
      </c>
      <c r="K224" s="12" t="s">
        <v>43</v>
      </c>
      <c r="L224" s="8" t="s">
        <v>3</v>
      </c>
      <c r="M224" s="11" t="s">
        <v>1042</v>
      </c>
      <c r="N224" s="13" t="s">
        <v>11</v>
      </c>
      <c r="O224" s="14"/>
      <c r="P224" s="14"/>
      <c r="Q224" s="14"/>
      <c r="R224" s="13"/>
    </row>
    <row r="225" customFormat="false" ht="23.85" hidden="false" customHeight="false" outlineLevel="0" collapsed="false">
      <c r="A225" s="8" t="s">
        <v>1043</v>
      </c>
      <c r="B225" s="11" t="s">
        <v>27</v>
      </c>
      <c r="C225" s="11" t="s">
        <v>1044</v>
      </c>
      <c r="D225" s="11" t="s">
        <v>1045</v>
      </c>
      <c r="E225" s="11" t="s">
        <v>1046</v>
      </c>
      <c r="F225" s="11"/>
      <c r="G225" s="11" t="s">
        <v>3</v>
      </c>
      <c r="H225" s="11"/>
      <c r="I225" s="11" t="s">
        <v>1047</v>
      </c>
      <c r="J225" s="8" t="s">
        <v>38</v>
      </c>
      <c r="K225" s="12" t="s">
        <v>43</v>
      </c>
      <c r="L225" s="8" t="s">
        <v>3</v>
      </c>
      <c r="M225" s="11" t="s">
        <v>1048</v>
      </c>
      <c r="N225" s="13" t="s">
        <v>11</v>
      </c>
      <c r="O225" s="14"/>
      <c r="P225" s="14"/>
      <c r="Q225" s="14"/>
      <c r="R225" s="13"/>
    </row>
    <row r="226" customFormat="false" ht="23.85" hidden="false" customHeight="false" outlineLevel="0" collapsed="false">
      <c r="A226" s="8" t="s">
        <v>1049</v>
      </c>
      <c r="B226" s="11" t="s">
        <v>28</v>
      </c>
      <c r="C226" s="11" t="s">
        <v>1050</v>
      </c>
      <c r="D226" s="11" t="s">
        <v>1045</v>
      </c>
      <c r="E226" s="11" t="s">
        <v>1051</v>
      </c>
      <c r="F226" s="11" t="s">
        <v>1052</v>
      </c>
      <c r="G226" s="11" t="s">
        <v>1053</v>
      </c>
      <c r="H226" s="11"/>
      <c r="I226" s="11" t="s">
        <v>1054</v>
      </c>
      <c r="J226" s="8" t="s">
        <v>41</v>
      </c>
      <c r="K226" s="12" t="s">
        <v>43</v>
      </c>
      <c r="L226" s="8" t="s">
        <v>3</v>
      </c>
      <c r="M226" s="11" t="s">
        <v>815</v>
      </c>
      <c r="N226" s="13" t="s">
        <v>11</v>
      </c>
      <c r="O226" s="14"/>
      <c r="P226" s="14"/>
      <c r="Q226" s="14"/>
      <c r="R226" s="13"/>
    </row>
    <row r="227" customFormat="false" ht="23.85" hidden="false" customHeight="false" outlineLevel="0" collapsed="false">
      <c r="A227" s="8" t="s">
        <v>1055</v>
      </c>
      <c r="B227" s="11" t="s">
        <v>28</v>
      </c>
      <c r="C227" s="11" t="s">
        <v>1050</v>
      </c>
      <c r="D227" s="11" t="s">
        <v>1045</v>
      </c>
      <c r="E227" s="11" t="s">
        <v>1056</v>
      </c>
      <c r="F227" s="11" t="s">
        <v>1057</v>
      </c>
      <c r="G227" s="11" t="s">
        <v>1053</v>
      </c>
      <c r="H227" s="11"/>
      <c r="I227" s="11" t="s">
        <v>1054</v>
      </c>
      <c r="J227" s="8" t="s">
        <v>41</v>
      </c>
      <c r="K227" s="12" t="s">
        <v>44</v>
      </c>
      <c r="L227" s="8" t="s">
        <v>4</v>
      </c>
      <c r="M227" s="11"/>
      <c r="N227" s="13" t="s">
        <v>11</v>
      </c>
      <c r="O227" s="14"/>
      <c r="P227" s="14"/>
      <c r="Q227" s="14"/>
      <c r="R227" s="13"/>
    </row>
    <row r="228" customFormat="false" ht="23.85" hidden="false" customHeight="false" outlineLevel="0" collapsed="false">
      <c r="A228" s="8" t="s">
        <v>1058</v>
      </c>
      <c r="B228" s="11" t="s">
        <v>28</v>
      </c>
      <c r="C228" s="11" t="s">
        <v>1050</v>
      </c>
      <c r="D228" s="11" t="s">
        <v>1045</v>
      </c>
      <c r="E228" s="11" t="s">
        <v>1059</v>
      </c>
      <c r="F228" s="11" t="s">
        <v>1060</v>
      </c>
      <c r="G228" s="11" t="s">
        <v>1053</v>
      </c>
      <c r="H228" s="11"/>
      <c r="I228" s="11" t="s">
        <v>1054</v>
      </c>
      <c r="J228" s="8" t="s">
        <v>41</v>
      </c>
      <c r="K228" s="12" t="s">
        <v>44</v>
      </c>
      <c r="L228" s="8" t="s">
        <v>3</v>
      </c>
      <c r="M228" s="11" t="s">
        <v>815</v>
      </c>
      <c r="N228" s="13" t="s">
        <v>11</v>
      </c>
      <c r="O228" s="14"/>
      <c r="P228" s="14"/>
      <c r="Q228" s="14"/>
      <c r="R228" s="13"/>
    </row>
    <row r="229" customFormat="false" ht="23.85" hidden="false" customHeight="false" outlineLevel="0" collapsed="false">
      <c r="A229" s="8" t="s">
        <v>1061</v>
      </c>
      <c r="B229" s="11" t="s">
        <v>28</v>
      </c>
      <c r="C229" s="11" t="s">
        <v>1050</v>
      </c>
      <c r="D229" s="11" t="s">
        <v>1045</v>
      </c>
      <c r="E229" s="11" t="s">
        <v>1062</v>
      </c>
      <c r="F229" s="11" t="s">
        <v>1063</v>
      </c>
      <c r="G229" s="11" t="s">
        <v>1053</v>
      </c>
      <c r="H229" s="11"/>
      <c r="I229" s="11" t="s">
        <v>1054</v>
      </c>
      <c r="J229" s="8" t="s">
        <v>41</v>
      </c>
      <c r="K229" s="12" t="s">
        <v>44</v>
      </c>
      <c r="L229" s="8" t="s">
        <v>3</v>
      </c>
      <c r="M229" s="11" t="s">
        <v>815</v>
      </c>
      <c r="N229" s="13" t="s">
        <v>11</v>
      </c>
      <c r="O229" s="14"/>
      <c r="P229" s="14"/>
      <c r="Q229" s="14"/>
      <c r="R229" s="13"/>
    </row>
    <row r="230" customFormat="false" ht="23.85" hidden="false" customHeight="false" outlineLevel="0" collapsed="false">
      <c r="A230" s="8" t="s">
        <v>1064</v>
      </c>
      <c r="B230" s="11" t="s">
        <v>28</v>
      </c>
      <c r="C230" s="11" t="s">
        <v>1050</v>
      </c>
      <c r="D230" s="11" t="s">
        <v>1045</v>
      </c>
      <c r="E230" s="11" t="s">
        <v>1065</v>
      </c>
      <c r="F230" s="11" t="s">
        <v>1066</v>
      </c>
      <c r="G230" s="11" t="s">
        <v>1053</v>
      </c>
      <c r="H230" s="11"/>
      <c r="I230" s="11" t="s">
        <v>1054</v>
      </c>
      <c r="J230" s="8" t="s">
        <v>41</v>
      </c>
      <c r="K230" s="12" t="s">
        <v>44</v>
      </c>
      <c r="L230" s="8" t="s">
        <v>3</v>
      </c>
      <c r="M230" s="11" t="s">
        <v>815</v>
      </c>
      <c r="N230" s="13" t="s">
        <v>11</v>
      </c>
      <c r="O230" s="14"/>
      <c r="P230" s="14"/>
      <c r="Q230" s="14"/>
      <c r="R230" s="13"/>
    </row>
    <row r="231" customFormat="false" ht="23.85" hidden="false" customHeight="false" outlineLevel="0" collapsed="false">
      <c r="A231" s="8" t="s">
        <v>1067</v>
      </c>
      <c r="B231" s="11" t="s">
        <v>28</v>
      </c>
      <c r="C231" s="11" t="s">
        <v>1050</v>
      </c>
      <c r="D231" s="11" t="s">
        <v>1045</v>
      </c>
      <c r="E231" s="11" t="s">
        <v>1068</v>
      </c>
      <c r="F231" s="11" t="s">
        <v>1069</v>
      </c>
      <c r="G231" s="11" t="s">
        <v>1053</v>
      </c>
      <c r="H231" s="11"/>
      <c r="I231" s="11" t="s">
        <v>1054</v>
      </c>
      <c r="J231" s="8" t="s">
        <v>41</v>
      </c>
      <c r="K231" s="12" t="s">
        <v>43</v>
      </c>
      <c r="L231" s="8" t="s">
        <v>4</v>
      </c>
      <c r="M231" s="11"/>
      <c r="N231" s="13" t="s">
        <v>11</v>
      </c>
      <c r="O231" s="14"/>
      <c r="P231" s="14"/>
      <c r="Q231" s="14"/>
      <c r="R231" s="13"/>
    </row>
    <row r="232" customFormat="false" ht="23.85" hidden="false" customHeight="false" outlineLevel="0" collapsed="false">
      <c r="A232" s="8" t="s">
        <v>1070</v>
      </c>
      <c r="B232" s="11" t="s">
        <v>28</v>
      </c>
      <c r="C232" s="11" t="s">
        <v>1050</v>
      </c>
      <c r="D232" s="11" t="s">
        <v>1045</v>
      </c>
      <c r="E232" s="11" t="s">
        <v>1071</v>
      </c>
      <c r="F232" s="11" t="s">
        <v>1072</v>
      </c>
      <c r="G232" s="11" t="s">
        <v>1053</v>
      </c>
      <c r="H232" s="11"/>
      <c r="I232" s="11" t="s">
        <v>1054</v>
      </c>
      <c r="J232" s="8" t="s">
        <v>41</v>
      </c>
      <c r="K232" s="12" t="s">
        <v>44</v>
      </c>
      <c r="L232" s="8" t="s">
        <v>4</v>
      </c>
      <c r="M232" s="11"/>
      <c r="N232" s="13" t="s">
        <v>11</v>
      </c>
      <c r="O232" s="14"/>
      <c r="P232" s="14"/>
      <c r="Q232" s="14"/>
      <c r="R232" s="13"/>
    </row>
    <row r="233" customFormat="false" ht="23.85" hidden="false" customHeight="false" outlineLevel="0" collapsed="false">
      <c r="A233" s="8" t="s">
        <v>1073</v>
      </c>
      <c r="B233" s="11" t="s">
        <v>28</v>
      </c>
      <c r="C233" s="11" t="s">
        <v>1074</v>
      </c>
      <c r="D233" s="11" t="s">
        <v>1045</v>
      </c>
      <c r="E233" s="11" t="s">
        <v>1075</v>
      </c>
      <c r="F233" s="11" t="s">
        <v>313</v>
      </c>
      <c r="G233" s="11" t="s">
        <v>1076</v>
      </c>
      <c r="H233" s="11"/>
      <c r="I233" s="11" t="s">
        <v>1077</v>
      </c>
      <c r="J233" s="8" t="s">
        <v>41</v>
      </c>
      <c r="K233" s="12" t="s">
        <v>45</v>
      </c>
      <c r="L233" s="8" t="s">
        <v>4</v>
      </c>
      <c r="M233" s="11"/>
      <c r="N233" s="13" t="s">
        <v>11</v>
      </c>
      <c r="O233" s="14"/>
      <c r="P233" s="14"/>
      <c r="Q233" s="14"/>
      <c r="R233" s="13"/>
    </row>
    <row r="234" customFormat="false" ht="23.85" hidden="false" customHeight="false" outlineLevel="0" collapsed="false">
      <c r="A234" s="8" t="s">
        <v>1078</v>
      </c>
      <c r="B234" s="11" t="s">
        <v>28</v>
      </c>
      <c r="C234" s="11" t="s">
        <v>1079</v>
      </c>
      <c r="D234" s="11" t="s">
        <v>115</v>
      </c>
      <c r="E234" s="11" t="s">
        <v>1080</v>
      </c>
      <c r="F234" s="11" t="s">
        <v>117</v>
      </c>
      <c r="G234" s="11" t="s">
        <v>1081</v>
      </c>
      <c r="H234" s="11"/>
      <c r="I234" s="11" t="s">
        <v>1082</v>
      </c>
      <c r="J234" s="8" t="s">
        <v>34</v>
      </c>
      <c r="K234" s="12" t="s">
        <v>44</v>
      </c>
      <c r="L234" s="8" t="s">
        <v>4</v>
      </c>
      <c r="M234" s="11"/>
      <c r="N234" s="13" t="s">
        <v>11</v>
      </c>
      <c r="O234" s="14"/>
      <c r="P234" s="14"/>
      <c r="Q234" s="14"/>
      <c r="R234" s="13"/>
    </row>
    <row r="235" customFormat="false" ht="23.85" hidden="false" customHeight="false" outlineLevel="0" collapsed="false">
      <c r="A235" s="8" t="s">
        <v>1083</v>
      </c>
      <c r="B235" s="11" t="s">
        <v>28</v>
      </c>
      <c r="C235" s="11" t="s">
        <v>1084</v>
      </c>
      <c r="D235" s="11" t="s">
        <v>115</v>
      </c>
      <c r="E235" s="11" t="s">
        <v>1085</v>
      </c>
      <c r="F235" s="11" t="s">
        <v>313</v>
      </c>
      <c r="G235" s="11" t="s">
        <v>1086</v>
      </c>
      <c r="H235" s="11"/>
      <c r="I235" s="11" t="s">
        <v>1087</v>
      </c>
      <c r="J235" s="8" t="s">
        <v>34</v>
      </c>
      <c r="K235" s="12" t="s">
        <v>44</v>
      </c>
      <c r="L235" s="8" t="s">
        <v>3</v>
      </c>
      <c r="M235" s="11" t="s">
        <v>815</v>
      </c>
      <c r="N235" s="13" t="s">
        <v>11</v>
      </c>
      <c r="O235" s="14"/>
      <c r="P235" s="14"/>
      <c r="Q235" s="14"/>
      <c r="R235" s="13"/>
    </row>
    <row r="236" customFormat="false" ht="23.85" hidden="false" customHeight="false" outlineLevel="0" collapsed="false">
      <c r="A236" s="8" t="s">
        <v>1088</v>
      </c>
      <c r="B236" s="11" t="s">
        <v>28</v>
      </c>
      <c r="C236" s="11" t="s">
        <v>1089</v>
      </c>
      <c r="D236" s="11" t="s">
        <v>1045</v>
      </c>
      <c r="E236" s="11" t="s">
        <v>1090</v>
      </c>
      <c r="F236" s="11" t="s">
        <v>117</v>
      </c>
      <c r="G236" s="11" t="s">
        <v>1091</v>
      </c>
      <c r="H236" s="11"/>
      <c r="I236" s="11" t="s">
        <v>1092</v>
      </c>
      <c r="J236" s="8" t="s">
        <v>35</v>
      </c>
      <c r="K236" s="12" t="s">
        <v>43</v>
      </c>
      <c r="L236" s="8" t="s">
        <v>4</v>
      </c>
      <c r="M236" s="11"/>
      <c r="N236" s="13" t="s">
        <v>11</v>
      </c>
      <c r="O236" s="14"/>
      <c r="P236" s="14"/>
      <c r="Q236" s="14"/>
      <c r="R236" s="13"/>
    </row>
    <row r="237" customFormat="false" ht="23.85" hidden="false" customHeight="false" outlineLevel="0" collapsed="false">
      <c r="A237" s="8" t="s">
        <v>1093</v>
      </c>
      <c r="B237" s="11" t="s">
        <v>28</v>
      </c>
      <c r="C237" s="11" t="s">
        <v>1089</v>
      </c>
      <c r="D237" s="11" t="s">
        <v>1045</v>
      </c>
      <c r="E237" s="11" t="s">
        <v>1094</v>
      </c>
      <c r="F237" s="11" t="s">
        <v>117</v>
      </c>
      <c r="G237" s="11" t="s">
        <v>1091</v>
      </c>
      <c r="H237" s="11"/>
      <c r="I237" s="11" t="s">
        <v>1092</v>
      </c>
      <c r="J237" s="8" t="s">
        <v>35</v>
      </c>
      <c r="K237" s="12" t="s">
        <v>44</v>
      </c>
      <c r="L237" s="8" t="s">
        <v>4</v>
      </c>
      <c r="M237" s="11"/>
      <c r="N237" s="13" t="s">
        <v>11</v>
      </c>
      <c r="O237" s="14"/>
      <c r="P237" s="14"/>
      <c r="Q237" s="14"/>
      <c r="R237" s="13"/>
    </row>
    <row r="238" customFormat="false" ht="23.85" hidden="false" customHeight="false" outlineLevel="0" collapsed="false">
      <c r="A238" s="8" t="s">
        <v>1095</v>
      </c>
      <c r="B238" s="11" t="s">
        <v>28</v>
      </c>
      <c r="C238" s="11" t="s">
        <v>1089</v>
      </c>
      <c r="D238" s="11" t="s">
        <v>1045</v>
      </c>
      <c r="E238" s="11" t="s">
        <v>1096</v>
      </c>
      <c r="F238" s="11" t="s">
        <v>117</v>
      </c>
      <c r="G238" s="11" t="s">
        <v>1091</v>
      </c>
      <c r="H238" s="11"/>
      <c r="I238" s="11" t="s">
        <v>1092</v>
      </c>
      <c r="J238" s="8" t="s">
        <v>35</v>
      </c>
      <c r="K238" s="12" t="s">
        <v>44</v>
      </c>
      <c r="L238" s="8" t="s">
        <v>4</v>
      </c>
      <c r="M238" s="11"/>
      <c r="N238" s="13" t="s">
        <v>11</v>
      </c>
      <c r="O238" s="14"/>
      <c r="P238" s="14"/>
      <c r="Q238" s="14"/>
      <c r="R238" s="13"/>
    </row>
    <row r="239" customFormat="false" ht="23.85" hidden="false" customHeight="false" outlineLevel="0" collapsed="false">
      <c r="A239" s="8" t="s">
        <v>1097</v>
      </c>
      <c r="B239" s="11" t="s">
        <v>28</v>
      </c>
      <c r="C239" s="11" t="s">
        <v>1089</v>
      </c>
      <c r="D239" s="11" t="s">
        <v>1045</v>
      </c>
      <c r="E239" s="11" t="s">
        <v>1098</v>
      </c>
      <c r="F239" s="11" t="s">
        <v>117</v>
      </c>
      <c r="G239" s="11" t="s">
        <v>1091</v>
      </c>
      <c r="H239" s="11"/>
      <c r="I239" s="11" t="s">
        <v>1092</v>
      </c>
      <c r="J239" s="8" t="s">
        <v>35</v>
      </c>
      <c r="K239" s="12" t="s">
        <v>44</v>
      </c>
      <c r="L239" s="8" t="s">
        <v>4</v>
      </c>
      <c r="M239" s="11"/>
      <c r="N239" s="13" t="s">
        <v>11</v>
      </c>
      <c r="O239" s="14"/>
      <c r="P239" s="14"/>
      <c r="Q239" s="14"/>
      <c r="R239" s="13"/>
    </row>
    <row r="240" customFormat="false" ht="23.85" hidden="false" customHeight="false" outlineLevel="0" collapsed="false">
      <c r="A240" s="8" t="s">
        <v>1099</v>
      </c>
      <c r="B240" s="11" t="s">
        <v>28</v>
      </c>
      <c r="C240" s="11" t="s">
        <v>1089</v>
      </c>
      <c r="D240" s="11" t="s">
        <v>1045</v>
      </c>
      <c r="E240" s="11" t="s">
        <v>1100</v>
      </c>
      <c r="F240" s="11" t="s">
        <v>117</v>
      </c>
      <c r="G240" s="11" t="s">
        <v>1091</v>
      </c>
      <c r="H240" s="11"/>
      <c r="I240" s="11" t="s">
        <v>1092</v>
      </c>
      <c r="J240" s="8" t="s">
        <v>35</v>
      </c>
      <c r="K240" s="12" t="s">
        <v>43</v>
      </c>
      <c r="L240" s="8" t="s">
        <v>4</v>
      </c>
      <c r="M240" s="11"/>
      <c r="N240" s="13" t="s">
        <v>11</v>
      </c>
      <c r="O240" s="14"/>
      <c r="P240" s="14"/>
      <c r="Q240" s="14"/>
      <c r="R240" s="13"/>
    </row>
    <row r="241" customFormat="false" ht="23.85" hidden="false" customHeight="false" outlineLevel="0" collapsed="false">
      <c r="A241" s="8" t="s">
        <v>1101</v>
      </c>
      <c r="B241" s="11" t="s">
        <v>28</v>
      </c>
      <c r="C241" s="11" t="s">
        <v>1089</v>
      </c>
      <c r="D241" s="11" t="s">
        <v>1045</v>
      </c>
      <c r="E241" s="11" t="s">
        <v>1102</v>
      </c>
      <c r="F241" s="11" t="s">
        <v>117</v>
      </c>
      <c r="G241" s="11" t="s">
        <v>1091</v>
      </c>
      <c r="H241" s="11"/>
      <c r="I241" s="11" t="s">
        <v>1092</v>
      </c>
      <c r="J241" s="8" t="s">
        <v>35</v>
      </c>
      <c r="K241" s="12" t="s">
        <v>43</v>
      </c>
      <c r="L241" s="8" t="s">
        <v>4</v>
      </c>
      <c r="M241" s="11"/>
      <c r="N241" s="13" t="s">
        <v>11</v>
      </c>
      <c r="O241" s="14"/>
      <c r="P241" s="14"/>
      <c r="Q241" s="14"/>
      <c r="R241" s="13"/>
    </row>
    <row r="242" customFormat="false" ht="23.85" hidden="false" customHeight="false" outlineLevel="0" collapsed="false">
      <c r="A242" s="8" t="s">
        <v>1103</v>
      </c>
      <c r="B242" s="11" t="s">
        <v>28</v>
      </c>
      <c r="C242" s="11" t="s">
        <v>1089</v>
      </c>
      <c r="D242" s="11" t="s">
        <v>1045</v>
      </c>
      <c r="E242" s="11" t="s">
        <v>1104</v>
      </c>
      <c r="F242" s="11" t="s">
        <v>117</v>
      </c>
      <c r="G242" s="11" t="s">
        <v>1091</v>
      </c>
      <c r="H242" s="11"/>
      <c r="I242" s="11" t="s">
        <v>1092</v>
      </c>
      <c r="J242" s="8" t="s">
        <v>35</v>
      </c>
      <c r="K242" s="12" t="s">
        <v>44</v>
      </c>
      <c r="L242" s="8" t="s">
        <v>4</v>
      </c>
      <c r="M242" s="11"/>
      <c r="N242" s="13" t="s">
        <v>11</v>
      </c>
      <c r="O242" s="14"/>
      <c r="P242" s="14"/>
      <c r="Q242" s="14"/>
      <c r="R242" s="13"/>
    </row>
    <row r="243" customFormat="false" ht="35.05" hidden="false" customHeight="false" outlineLevel="0" collapsed="false">
      <c r="A243" s="8" t="s">
        <v>1105</v>
      </c>
      <c r="B243" s="11" t="s">
        <v>29</v>
      </c>
      <c r="C243" s="11" t="s">
        <v>1106</v>
      </c>
      <c r="D243" s="11" t="s">
        <v>115</v>
      </c>
      <c r="E243" s="11" t="s">
        <v>1107</v>
      </c>
      <c r="F243" s="11" t="s">
        <v>117</v>
      </c>
      <c r="G243" s="11" t="s">
        <v>1108</v>
      </c>
      <c r="H243" s="11"/>
      <c r="I243" s="11" t="s">
        <v>1109</v>
      </c>
      <c r="J243" s="8" t="s">
        <v>34</v>
      </c>
      <c r="K243" s="12" t="s">
        <v>43</v>
      </c>
      <c r="L243" s="8" t="s">
        <v>4</v>
      </c>
      <c r="M243" s="11"/>
      <c r="N243" s="13" t="s">
        <v>11</v>
      </c>
      <c r="O243" s="14"/>
      <c r="P243" s="14"/>
      <c r="Q243" s="14"/>
      <c r="R243" s="13"/>
    </row>
    <row r="244" customFormat="false" ht="15" hidden="false" customHeight="false" outlineLevel="0" collapsed="false">
      <c r="A244" s="8" t="s">
        <v>1110</v>
      </c>
      <c r="B244" s="11" t="s">
        <v>29</v>
      </c>
      <c r="C244" s="11" t="s">
        <v>1111</v>
      </c>
      <c r="D244" s="11" t="s">
        <v>115</v>
      </c>
      <c r="E244" s="11" t="s">
        <v>1112</v>
      </c>
      <c r="F244" s="11" t="s">
        <v>117</v>
      </c>
      <c r="G244" s="11" t="s">
        <v>1113</v>
      </c>
      <c r="H244" s="11"/>
      <c r="I244" s="11" t="s">
        <v>1114</v>
      </c>
      <c r="J244" s="8" t="s">
        <v>34</v>
      </c>
      <c r="K244" s="12" t="s">
        <v>43</v>
      </c>
      <c r="L244" s="8" t="s">
        <v>4</v>
      </c>
      <c r="M244" s="11"/>
      <c r="N244" s="13" t="s">
        <v>11</v>
      </c>
      <c r="O244" s="14"/>
      <c r="P244" s="14"/>
      <c r="Q244" s="14"/>
      <c r="R244" s="13"/>
    </row>
    <row r="245" customFormat="false" ht="23.85" hidden="false" customHeight="false" outlineLevel="0" collapsed="false">
      <c r="A245" s="8" t="s">
        <v>1115</v>
      </c>
      <c r="B245" s="11" t="s">
        <v>29</v>
      </c>
      <c r="C245" s="11" t="s">
        <v>1116</v>
      </c>
      <c r="D245" s="11" t="s">
        <v>1045</v>
      </c>
      <c r="E245" s="11" t="s">
        <v>1117</v>
      </c>
      <c r="F245" s="11" t="s">
        <v>1118</v>
      </c>
      <c r="G245" s="11" t="s">
        <v>1119</v>
      </c>
      <c r="H245" s="11"/>
      <c r="I245" s="11" t="s">
        <v>1120</v>
      </c>
      <c r="J245" s="8" t="s">
        <v>34</v>
      </c>
      <c r="K245" s="12" t="s">
        <v>43</v>
      </c>
      <c r="L245" s="8" t="s">
        <v>4</v>
      </c>
      <c r="M245" s="11"/>
      <c r="N245" s="13" t="s">
        <v>11</v>
      </c>
      <c r="O245" s="14"/>
      <c r="P245" s="14"/>
      <c r="Q245" s="14"/>
      <c r="R245" s="13"/>
    </row>
    <row r="246" customFormat="false" ht="15" hidden="false" customHeight="false" outlineLevel="0" collapsed="false">
      <c r="A246" s="8" t="s">
        <v>1121</v>
      </c>
      <c r="B246" s="11" t="s">
        <v>29</v>
      </c>
      <c r="C246" s="11" t="s">
        <v>1122</v>
      </c>
      <c r="D246" s="11" t="s">
        <v>115</v>
      </c>
      <c r="E246" s="11" t="s">
        <v>1123</v>
      </c>
      <c r="F246" s="11" t="s">
        <v>117</v>
      </c>
      <c r="G246" s="11" t="s">
        <v>1124</v>
      </c>
      <c r="H246" s="11"/>
      <c r="I246" s="11" t="s">
        <v>1125</v>
      </c>
      <c r="J246" s="8" t="s">
        <v>34</v>
      </c>
      <c r="K246" s="12" t="s">
        <v>44</v>
      </c>
      <c r="L246" s="8" t="s">
        <v>3</v>
      </c>
      <c r="M246" s="11" t="s">
        <v>1042</v>
      </c>
      <c r="N246" s="13" t="s">
        <v>11</v>
      </c>
      <c r="O246" s="14"/>
      <c r="P246" s="14"/>
      <c r="Q246" s="14"/>
      <c r="R246" s="13"/>
    </row>
    <row r="247" customFormat="false" ht="15" hidden="false" customHeight="false" outlineLevel="0" collapsed="false">
      <c r="A247" s="8" t="s">
        <v>1126</v>
      </c>
      <c r="B247" s="11" t="s">
        <v>29</v>
      </c>
      <c r="C247" s="11" t="s">
        <v>1127</v>
      </c>
      <c r="D247" s="11" t="s">
        <v>115</v>
      </c>
      <c r="E247" s="11" t="s">
        <v>1128</v>
      </c>
      <c r="F247" s="11" t="s">
        <v>1129</v>
      </c>
      <c r="G247" s="11" t="s">
        <v>1130</v>
      </c>
      <c r="H247" s="11"/>
      <c r="I247" s="11" t="s">
        <v>1131</v>
      </c>
      <c r="J247" s="8" t="s">
        <v>34</v>
      </c>
      <c r="K247" s="12" t="s">
        <v>45</v>
      </c>
      <c r="L247" s="8" t="s">
        <v>4</v>
      </c>
      <c r="M247" s="11"/>
      <c r="N247" s="13" t="s">
        <v>11</v>
      </c>
      <c r="O247" s="14"/>
      <c r="P247" s="14"/>
      <c r="Q247" s="14"/>
      <c r="R247" s="13"/>
    </row>
    <row r="248" customFormat="false" ht="15" hidden="false" customHeight="false" outlineLevel="0" collapsed="false">
      <c r="A248" s="8" t="s">
        <v>1132</v>
      </c>
      <c r="B248" s="11" t="s">
        <v>29</v>
      </c>
      <c r="C248" s="11" t="s">
        <v>1133</v>
      </c>
      <c r="D248" s="11" t="s">
        <v>1134</v>
      </c>
      <c r="E248" s="11" t="s">
        <v>1135</v>
      </c>
      <c r="F248" s="11" t="s">
        <v>117</v>
      </c>
      <c r="G248" s="11" t="s">
        <v>1136</v>
      </c>
      <c r="H248" s="11"/>
      <c r="I248" s="11" t="s">
        <v>1137</v>
      </c>
      <c r="J248" s="8" t="s">
        <v>34</v>
      </c>
      <c r="K248" s="12" t="s">
        <v>44</v>
      </c>
      <c r="L248" s="8" t="s">
        <v>3</v>
      </c>
      <c r="M248" s="11" t="s">
        <v>1042</v>
      </c>
      <c r="N248" s="13" t="s">
        <v>11</v>
      </c>
      <c r="O248" s="14"/>
      <c r="P248" s="14"/>
      <c r="Q248" s="14"/>
      <c r="R248" s="13"/>
    </row>
    <row r="249" customFormat="false" ht="15" hidden="false" customHeight="false" outlineLevel="0" collapsed="false">
      <c r="A249" s="8" t="s">
        <v>1138</v>
      </c>
      <c r="B249" s="11" t="s">
        <v>29</v>
      </c>
      <c r="C249" s="11" t="s">
        <v>1139</v>
      </c>
      <c r="D249" s="11" t="s">
        <v>1140</v>
      </c>
      <c r="E249" s="11" t="s">
        <v>1141</v>
      </c>
      <c r="F249" s="11" t="s">
        <v>117</v>
      </c>
      <c r="G249" s="11" t="s">
        <v>1142</v>
      </c>
      <c r="H249" s="11"/>
      <c r="I249" s="11" t="s">
        <v>1143</v>
      </c>
      <c r="J249" s="8" t="s">
        <v>34</v>
      </c>
      <c r="K249" s="12" t="s">
        <v>45</v>
      </c>
      <c r="L249" s="8" t="s">
        <v>4</v>
      </c>
      <c r="M249" s="11"/>
      <c r="N249" s="13" t="s">
        <v>11</v>
      </c>
      <c r="O249" s="14"/>
      <c r="P249" s="14"/>
      <c r="Q249" s="14"/>
      <c r="R249" s="13"/>
    </row>
    <row r="250" customFormat="false" ht="23.85" hidden="false" customHeight="false" outlineLevel="0" collapsed="false">
      <c r="A250" s="8" t="s">
        <v>1144</v>
      </c>
      <c r="B250" s="11" t="s">
        <v>30</v>
      </c>
      <c r="C250" s="11" t="s">
        <v>1145</v>
      </c>
      <c r="D250" s="11" t="s">
        <v>1045</v>
      </c>
      <c r="E250" s="11" t="s">
        <v>1146</v>
      </c>
      <c r="F250" s="11" t="s">
        <v>117</v>
      </c>
      <c r="G250" s="11" t="s">
        <v>1147</v>
      </c>
      <c r="H250" s="11"/>
      <c r="I250" s="11" t="s">
        <v>1148</v>
      </c>
      <c r="J250" s="8" t="s">
        <v>30</v>
      </c>
      <c r="K250" s="12" t="s">
        <v>43</v>
      </c>
      <c r="L250" s="8" t="s">
        <v>4</v>
      </c>
      <c r="M250" s="11"/>
      <c r="N250" s="13" t="s">
        <v>11</v>
      </c>
      <c r="O250" s="14"/>
      <c r="P250" s="14"/>
      <c r="Q250" s="14"/>
      <c r="R250" s="13"/>
    </row>
    <row r="251" customFormat="false" ht="23.85" hidden="false" customHeight="false" outlineLevel="0" collapsed="false">
      <c r="A251" s="8" t="s">
        <v>1149</v>
      </c>
      <c r="B251" s="11" t="s">
        <v>30</v>
      </c>
      <c r="C251" s="11" t="s">
        <v>1145</v>
      </c>
      <c r="D251" s="11" t="s">
        <v>1150</v>
      </c>
      <c r="E251" s="11" t="s">
        <v>1151</v>
      </c>
      <c r="F251" s="11" t="s">
        <v>117</v>
      </c>
      <c r="G251" s="11" t="s">
        <v>1152</v>
      </c>
      <c r="H251" s="11"/>
      <c r="I251" s="11" t="s">
        <v>1153</v>
      </c>
      <c r="J251" s="8" t="s">
        <v>30</v>
      </c>
      <c r="K251" s="12" t="s">
        <v>44</v>
      </c>
      <c r="L251" s="8" t="s">
        <v>3</v>
      </c>
      <c r="M251" s="11" t="s">
        <v>83</v>
      </c>
      <c r="N251" s="13" t="s">
        <v>11</v>
      </c>
      <c r="O251" s="14"/>
      <c r="P251" s="14"/>
      <c r="Q251" s="14"/>
      <c r="R251" s="13"/>
    </row>
    <row r="252" customFormat="false" ht="23.85" hidden="false" customHeight="false" outlineLevel="0" collapsed="false">
      <c r="A252" s="8" t="s">
        <v>1154</v>
      </c>
      <c r="B252" s="11" t="s">
        <v>30</v>
      </c>
      <c r="C252" s="11" t="s">
        <v>1155</v>
      </c>
      <c r="D252" s="11" t="s">
        <v>1156</v>
      </c>
      <c r="E252" s="11" t="s">
        <v>1157</v>
      </c>
      <c r="F252" s="11" t="s">
        <v>117</v>
      </c>
      <c r="G252" s="11" t="s">
        <v>1158</v>
      </c>
      <c r="H252" s="11"/>
      <c r="I252" s="11" t="s">
        <v>1159</v>
      </c>
      <c r="J252" s="8" t="s">
        <v>30</v>
      </c>
      <c r="K252" s="12" t="s">
        <v>45</v>
      </c>
      <c r="L252" s="8" t="s">
        <v>4</v>
      </c>
      <c r="M252" s="11"/>
      <c r="N252" s="13" t="s">
        <v>11</v>
      </c>
      <c r="O252" s="14"/>
      <c r="P252" s="14"/>
      <c r="Q252" s="14"/>
      <c r="R252" s="13"/>
    </row>
    <row r="253" customFormat="false" ht="15" hidden="false" customHeight="false" outlineLevel="0" collapsed="false">
      <c r="A253" s="8" t="s">
        <v>1160</v>
      </c>
      <c r="B253" s="11" t="s">
        <v>30</v>
      </c>
      <c r="C253" s="11" t="s">
        <v>1161</v>
      </c>
      <c r="D253" s="11" t="s">
        <v>115</v>
      </c>
      <c r="E253" s="11" t="s">
        <v>1162</v>
      </c>
      <c r="F253" s="11" t="s">
        <v>117</v>
      </c>
      <c r="G253" s="11" t="s">
        <v>1163</v>
      </c>
      <c r="H253" s="11"/>
      <c r="I253" s="11" t="s">
        <v>1164</v>
      </c>
      <c r="J253" s="8" t="s">
        <v>30</v>
      </c>
      <c r="K253" s="12" t="s">
        <v>44</v>
      </c>
      <c r="L253" s="8" t="s">
        <v>4</v>
      </c>
      <c r="M253" s="11"/>
      <c r="N253" s="13" t="s">
        <v>11</v>
      </c>
      <c r="O253" s="14"/>
      <c r="P253" s="14"/>
      <c r="Q253" s="14"/>
      <c r="R253" s="13"/>
    </row>
    <row r="254" customFormat="false" ht="15" hidden="false" customHeight="false" outlineLevel="0" collapsed="false">
      <c r="A254" s="8" t="s">
        <v>1165</v>
      </c>
      <c r="B254" s="11" t="s">
        <v>30</v>
      </c>
      <c r="C254" s="11" t="s">
        <v>1166</v>
      </c>
      <c r="D254" s="11" t="s">
        <v>115</v>
      </c>
      <c r="E254" s="11" t="s">
        <v>1167</v>
      </c>
      <c r="F254" s="11" t="s">
        <v>117</v>
      </c>
      <c r="G254" s="11" t="s">
        <v>1168</v>
      </c>
      <c r="H254" s="11"/>
      <c r="I254" s="11" t="s">
        <v>1169</v>
      </c>
      <c r="J254" s="8" t="s">
        <v>30</v>
      </c>
      <c r="K254" s="12" t="s">
        <v>45</v>
      </c>
      <c r="L254" s="8" t="s">
        <v>4</v>
      </c>
      <c r="M254" s="11"/>
      <c r="N254" s="13" t="s">
        <v>11</v>
      </c>
      <c r="O254" s="14"/>
      <c r="P254" s="14"/>
      <c r="Q254" s="14"/>
      <c r="R254" s="13"/>
    </row>
    <row r="255" customFormat="false" ht="23.85" hidden="false" customHeight="false" outlineLevel="0" collapsed="false">
      <c r="A255" s="8" t="s">
        <v>1170</v>
      </c>
      <c r="B255" s="11" t="s">
        <v>30</v>
      </c>
      <c r="C255" s="11" t="s">
        <v>568</v>
      </c>
      <c r="D255" s="11" t="s">
        <v>1045</v>
      </c>
      <c r="E255" s="11" t="s">
        <v>1171</v>
      </c>
      <c r="F255" s="11" t="s">
        <v>1172</v>
      </c>
      <c r="G255" s="11" t="s">
        <v>1173</v>
      </c>
      <c r="H255" s="11"/>
      <c r="I255" s="11" t="s">
        <v>1174</v>
      </c>
      <c r="J255" s="8" t="s">
        <v>30</v>
      </c>
      <c r="K255" s="12" t="s">
        <v>44</v>
      </c>
      <c r="L255" s="8" t="s">
        <v>4</v>
      </c>
      <c r="M255" s="11"/>
      <c r="N255" s="13" t="s">
        <v>11</v>
      </c>
      <c r="O255" s="14"/>
      <c r="P255" s="14"/>
      <c r="Q255" s="14"/>
      <c r="R255" s="13"/>
    </row>
    <row r="256" customFormat="false" ht="23.85" hidden="false" customHeight="false" outlineLevel="0" collapsed="false">
      <c r="A256" s="8" t="s">
        <v>1175</v>
      </c>
      <c r="B256" s="11" t="s">
        <v>30</v>
      </c>
      <c r="C256" s="11" t="s">
        <v>1176</v>
      </c>
      <c r="D256" s="11" t="s">
        <v>1045</v>
      </c>
      <c r="E256" s="11" t="s">
        <v>1177</v>
      </c>
      <c r="F256" s="11" t="s">
        <v>1178</v>
      </c>
      <c r="G256" s="11" t="s">
        <v>1179</v>
      </c>
      <c r="H256" s="11"/>
      <c r="I256" s="11" t="s">
        <v>1180</v>
      </c>
      <c r="J256" s="8" t="s">
        <v>30</v>
      </c>
      <c r="K256" s="12" t="s">
        <v>45</v>
      </c>
      <c r="L256" s="8" t="s">
        <v>4</v>
      </c>
      <c r="M256" s="11"/>
      <c r="N256" s="13" t="s">
        <v>11</v>
      </c>
      <c r="O256" s="14"/>
      <c r="P256" s="14"/>
      <c r="Q256" s="14"/>
      <c r="R256" s="13"/>
    </row>
    <row r="257" customFormat="false" ht="15" hidden="false" customHeight="false" outlineLevel="0" collapsed="false">
      <c r="A257" s="8" t="s">
        <v>1181</v>
      </c>
      <c r="B257" s="11" t="s">
        <v>31</v>
      </c>
      <c r="C257" s="11" t="s">
        <v>1182</v>
      </c>
      <c r="D257" s="11" t="s">
        <v>1183</v>
      </c>
      <c r="E257" s="11" t="s">
        <v>1184</v>
      </c>
      <c r="F257" s="11" t="s">
        <v>117</v>
      </c>
      <c r="G257" s="11" t="s">
        <v>1185</v>
      </c>
      <c r="H257" s="11"/>
      <c r="I257" s="11" t="s">
        <v>1186</v>
      </c>
      <c r="J257" s="8" t="s">
        <v>31</v>
      </c>
      <c r="K257" s="12" t="s">
        <v>44</v>
      </c>
      <c r="L257" s="8" t="s">
        <v>3</v>
      </c>
      <c r="M257" s="11" t="s">
        <v>573</v>
      </c>
      <c r="N257" s="13" t="s">
        <v>11</v>
      </c>
      <c r="O257" s="14"/>
      <c r="P257" s="14"/>
      <c r="Q257" s="14"/>
      <c r="R257" s="13"/>
    </row>
    <row r="258" customFormat="false" ht="23.85" hidden="false" customHeight="false" outlineLevel="0" collapsed="false">
      <c r="A258" s="8" t="s">
        <v>1187</v>
      </c>
      <c r="B258" s="11" t="s">
        <v>31</v>
      </c>
      <c r="C258" s="11" t="s">
        <v>1182</v>
      </c>
      <c r="D258" s="11" t="s">
        <v>1188</v>
      </c>
      <c r="E258" s="11" t="s">
        <v>1189</v>
      </c>
      <c r="F258" s="11" t="s">
        <v>117</v>
      </c>
      <c r="G258" s="11" t="s">
        <v>1190</v>
      </c>
      <c r="H258" s="11"/>
      <c r="I258" s="11" t="s">
        <v>1191</v>
      </c>
      <c r="J258" s="8" t="s">
        <v>31</v>
      </c>
      <c r="K258" s="12" t="s">
        <v>44</v>
      </c>
      <c r="L258" s="8" t="s">
        <v>3</v>
      </c>
      <c r="M258" s="11" t="s">
        <v>573</v>
      </c>
      <c r="N258" s="13" t="s">
        <v>11</v>
      </c>
      <c r="O258" s="14"/>
      <c r="P258" s="14"/>
      <c r="Q258" s="14"/>
      <c r="R258" s="13"/>
    </row>
    <row r="259" customFormat="false" ht="15" hidden="false" customHeight="false" outlineLevel="0" collapsed="false">
      <c r="A259" s="8" t="s">
        <v>1192</v>
      </c>
      <c r="B259" s="11" t="s">
        <v>31</v>
      </c>
      <c r="C259" s="11" t="s">
        <v>1193</v>
      </c>
      <c r="D259" s="11" t="s">
        <v>1194</v>
      </c>
      <c r="E259" s="11" t="s">
        <v>1195</v>
      </c>
      <c r="F259" s="11" t="s">
        <v>117</v>
      </c>
      <c r="G259" s="11" t="s">
        <v>1196</v>
      </c>
      <c r="H259" s="11"/>
      <c r="I259" s="11" t="s">
        <v>1197</v>
      </c>
      <c r="J259" s="8" t="s">
        <v>31</v>
      </c>
      <c r="K259" s="12" t="s">
        <v>44</v>
      </c>
      <c r="L259" s="8" t="s">
        <v>3</v>
      </c>
      <c r="M259" s="11" t="s">
        <v>83</v>
      </c>
      <c r="N259" s="13" t="s">
        <v>11</v>
      </c>
      <c r="O259" s="14"/>
      <c r="P259" s="14"/>
      <c r="Q259" s="14"/>
      <c r="R259" s="13"/>
    </row>
    <row r="260" customFormat="false" ht="15" hidden="false" customHeight="false" outlineLevel="0" collapsed="false">
      <c r="A260" s="8" t="s">
        <v>1198</v>
      </c>
      <c r="B260" s="11" t="s">
        <v>31</v>
      </c>
      <c r="C260" s="11" t="s">
        <v>1193</v>
      </c>
      <c r="D260" s="11" t="s">
        <v>1194</v>
      </c>
      <c r="E260" s="11" t="s">
        <v>1199</v>
      </c>
      <c r="F260" s="11" t="s">
        <v>117</v>
      </c>
      <c r="G260" s="11" t="s">
        <v>1200</v>
      </c>
      <c r="H260" s="11"/>
      <c r="I260" s="11" t="s">
        <v>1201</v>
      </c>
      <c r="J260" s="8" t="s">
        <v>31</v>
      </c>
      <c r="K260" s="12" t="s">
        <v>45</v>
      </c>
      <c r="L260" s="8" t="s">
        <v>4</v>
      </c>
      <c r="M260" s="11"/>
      <c r="N260" s="13" t="s">
        <v>11</v>
      </c>
      <c r="O260" s="14"/>
      <c r="P260" s="14"/>
      <c r="Q260" s="14"/>
      <c r="R260" s="13"/>
    </row>
    <row r="261" customFormat="false" ht="15" hidden="false" customHeight="false" outlineLevel="0" collapsed="false">
      <c r="A261" s="8" t="s">
        <v>1202</v>
      </c>
      <c r="B261" s="11" t="s">
        <v>31</v>
      </c>
      <c r="C261" s="11" t="s">
        <v>1193</v>
      </c>
      <c r="D261" s="11" t="s">
        <v>1194</v>
      </c>
      <c r="E261" s="11" t="s">
        <v>1203</v>
      </c>
      <c r="F261" s="11" t="s">
        <v>117</v>
      </c>
      <c r="G261" s="11" t="s">
        <v>1204</v>
      </c>
      <c r="H261" s="11"/>
      <c r="I261" s="11" t="s">
        <v>1205</v>
      </c>
      <c r="J261" s="8" t="s">
        <v>31</v>
      </c>
      <c r="K261" s="12" t="s">
        <v>45</v>
      </c>
      <c r="L261" s="8" t="s">
        <v>4</v>
      </c>
      <c r="M261" s="11"/>
      <c r="N261" s="13" t="s">
        <v>11</v>
      </c>
      <c r="O261" s="14"/>
      <c r="P261" s="14"/>
      <c r="Q261" s="14"/>
      <c r="R261" s="13"/>
    </row>
    <row r="262" customFormat="false" ht="15" hidden="false" customHeight="false" outlineLevel="0" collapsed="false">
      <c r="A262" s="8" t="s">
        <v>1206</v>
      </c>
      <c r="B262" s="11" t="s">
        <v>31</v>
      </c>
      <c r="C262" s="11" t="s">
        <v>1207</v>
      </c>
      <c r="D262" s="11" t="s">
        <v>1208</v>
      </c>
      <c r="E262" s="11" t="s">
        <v>1209</v>
      </c>
      <c r="F262" s="11" t="s">
        <v>117</v>
      </c>
      <c r="G262" s="11" t="s">
        <v>1210</v>
      </c>
      <c r="H262" s="11"/>
      <c r="I262" s="11" t="s">
        <v>1211</v>
      </c>
      <c r="J262" s="8" t="s">
        <v>31</v>
      </c>
      <c r="K262" s="12" t="s">
        <v>43</v>
      </c>
      <c r="L262" s="8" t="s">
        <v>3</v>
      </c>
      <c r="M262" s="11" t="s">
        <v>573</v>
      </c>
      <c r="N262" s="13" t="s">
        <v>11</v>
      </c>
      <c r="O262" s="14"/>
      <c r="P262" s="14"/>
      <c r="Q262" s="14"/>
      <c r="R262" s="13"/>
    </row>
    <row r="263" customFormat="false" ht="15" hidden="false" customHeight="false" outlineLevel="0" collapsed="false">
      <c r="A263" s="8" t="s">
        <v>1212</v>
      </c>
      <c r="B263" s="11" t="s">
        <v>32</v>
      </c>
      <c r="C263" s="11" t="s">
        <v>1213</v>
      </c>
      <c r="D263" s="11" t="s">
        <v>1208</v>
      </c>
      <c r="E263" s="11" t="s">
        <v>1214</v>
      </c>
      <c r="F263" s="11" t="s">
        <v>117</v>
      </c>
      <c r="G263" s="11" t="s">
        <v>1215</v>
      </c>
      <c r="H263" s="11"/>
      <c r="I263" s="11" t="s">
        <v>1216</v>
      </c>
      <c r="J263" s="8" t="s">
        <v>41</v>
      </c>
      <c r="K263" s="12" t="s">
        <v>44</v>
      </c>
      <c r="L263" s="8" t="s">
        <v>3</v>
      </c>
      <c r="M263" s="11" t="s">
        <v>573</v>
      </c>
      <c r="N263" s="13" t="s">
        <v>11</v>
      </c>
      <c r="O263" s="14"/>
      <c r="P263" s="14"/>
      <c r="Q263" s="14"/>
      <c r="R263" s="13"/>
    </row>
    <row r="264" customFormat="false" ht="23.85" hidden="false" customHeight="false" outlineLevel="0" collapsed="false">
      <c r="A264" s="8" t="s">
        <v>1217</v>
      </c>
      <c r="B264" s="11" t="s">
        <v>32</v>
      </c>
      <c r="C264" s="11" t="s">
        <v>1218</v>
      </c>
      <c r="D264" s="11" t="s">
        <v>1219</v>
      </c>
      <c r="E264" s="11" t="s">
        <v>1220</v>
      </c>
      <c r="F264" s="11" t="s">
        <v>117</v>
      </c>
      <c r="G264" s="11" t="s">
        <v>1221</v>
      </c>
      <c r="H264" s="11"/>
      <c r="I264" s="11" t="s">
        <v>1222</v>
      </c>
      <c r="J264" s="8" t="s">
        <v>37</v>
      </c>
      <c r="K264" s="12" t="s">
        <v>45</v>
      </c>
      <c r="L264" s="8" t="s">
        <v>4</v>
      </c>
      <c r="M264" s="11"/>
      <c r="N264" s="13" t="s">
        <v>11</v>
      </c>
      <c r="O264" s="14"/>
      <c r="P264" s="14"/>
      <c r="Q264" s="14"/>
      <c r="R264" s="13"/>
    </row>
    <row r="265" customFormat="false" ht="15" hidden="false" customHeight="false" outlineLevel="0" collapsed="false">
      <c r="A265" s="8" t="s">
        <v>1223</v>
      </c>
      <c r="B265" s="11" t="s">
        <v>32</v>
      </c>
      <c r="C265" s="11" t="s">
        <v>1224</v>
      </c>
      <c r="D265" s="11" t="s">
        <v>1045</v>
      </c>
      <c r="E265" s="11" t="s">
        <v>1225</v>
      </c>
      <c r="F265" s="11" t="s">
        <v>1226</v>
      </c>
      <c r="G265" s="11" t="s">
        <v>1179</v>
      </c>
      <c r="H265" s="11"/>
      <c r="I265" s="11" t="s">
        <v>1227</v>
      </c>
      <c r="J265" s="8" t="s">
        <v>37</v>
      </c>
      <c r="K265" s="12" t="s">
        <v>45</v>
      </c>
      <c r="L265" s="8" t="s">
        <v>4</v>
      </c>
      <c r="M265" s="11"/>
      <c r="N265" s="13" t="s">
        <v>11</v>
      </c>
      <c r="O265" s="14"/>
      <c r="P265" s="14"/>
      <c r="Q265" s="14"/>
      <c r="R265" s="13"/>
    </row>
    <row r="266" customFormat="false" ht="15" hidden="false" customHeight="false" outlineLevel="0" collapsed="false">
      <c r="A266" s="8" t="s">
        <v>1228</v>
      </c>
      <c r="B266" s="11" t="s">
        <v>32</v>
      </c>
      <c r="C266" s="11" t="s">
        <v>1229</v>
      </c>
      <c r="D266" s="11" t="s">
        <v>1230</v>
      </c>
      <c r="E266" s="11" t="s">
        <v>1231</v>
      </c>
      <c r="F266" s="11" t="s">
        <v>117</v>
      </c>
      <c r="G266" s="11" t="s">
        <v>1232</v>
      </c>
      <c r="H266" s="11"/>
      <c r="I266" s="11" t="s">
        <v>1233</v>
      </c>
      <c r="J266" s="8" t="s">
        <v>37</v>
      </c>
      <c r="K266" s="12" t="s">
        <v>45</v>
      </c>
      <c r="L266" s="8" t="s">
        <v>4</v>
      </c>
      <c r="M266" s="11"/>
      <c r="N266" s="13" t="s">
        <v>11</v>
      </c>
      <c r="O266" s="14"/>
      <c r="P266" s="14"/>
      <c r="Q266" s="14"/>
      <c r="R266" s="13"/>
    </row>
    <row r="267" customFormat="false" ht="23.85" hidden="false" customHeight="false" outlineLevel="0" collapsed="false">
      <c r="A267" s="8" t="s">
        <v>1234</v>
      </c>
      <c r="B267" s="11" t="s">
        <v>32</v>
      </c>
      <c r="C267" s="11" t="s">
        <v>1235</v>
      </c>
      <c r="D267" s="11" t="s">
        <v>115</v>
      </c>
      <c r="E267" s="11" t="s">
        <v>1236</v>
      </c>
      <c r="F267" s="11" t="s">
        <v>117</v>
      </c>
      <c r="G267" s="11" t="s">
        <v>1237</v>
      </c>
      <c r="H267" s="11"/>
      <c r="I267" s="11" t="s">
        <v>1238</v>
      </c>
      <c r="J267" s="8" t="s">
        <v>37</v>
      </c>
      <c r="K267" s="12" t="s">
        <v>44</v>
      </c>
      <c r="L267" s="8" t="s">
        <v>4</v>
      </c>
      <c r="M267" s="11"/>
      <c r="N267" s="13" t="s">
        <v>11</v>
      </c>
      <c r="O267" s="14"/>
      <c r="P267" s="14"/>
      <c r="Q267" s="14"/>
      <c r="R267" s="13"/>
    </row>
    <row r="268" customFormat="false" ht="23.85" hidden="false" customHeight="false" outlineLevel="0" collapsed="false">
      <c r="A268" s="8" t="s">
        <v>1239</v>
      </c>
      <c r="B268" s="11" t="s">
        <v>32</v>
      </c>
      <c r="C268" s="11" t="s">
        <v>1240</v>
      </c>
      <c r="D268" s="11" t="s">
        <v>115</v>
      </c>
      <c r="E268" s="11" t="s">
        <v>1241</v>
      </c>
      <c r="F268" s="11" t="s">
        <v>117</v>
      </c>
      <c r="G268" s="11" t="s">
        <v>1242</v>
      </c>
      <c r="H268" s="11"/>
      <c r="I268" s="11" t="s">
        <v>1243</v>
      </c>
      <c r="J268" s="8" t="s">
        <v>37</v>
      </c>
      <c r="K268" s="12" t="s">
        <v>45</v>
      </c>
      <c r="L268" s="8" t="s">
        <v>4</v>
      </c>
      <c r="M268" s="11"/>
      <c r="N268" s="13" t="s">
        <v>11</v>
      </c>
      <c r="O268" s="14"/>
      <c r="P268" s="14"/>
      <c r="Q268" s="14"/>
      <c r="R268" s="13"/>
    </row>
    <row r="269" customFormat="false" ht="23.85" hidden="false" customHeight="false" outlineLevel="0" collapsed="false">
      <c r="A269" s="8" t="s">
        <v>1244</v>
      </c>
      <c r="B269" s="11" t="s">
        <v>32</v>
      </c>
      <c r="C269" s="11" t="s">
        <v>1245</v>
      </c>
      <c r="D269" s="11" t="s">
        <v>1219</v>
      </c>
      <c r="E269" s="11" t="s">
        <v>1246</v>
      </c>
      <c r="F269" s="11" t="s">
        <v>117</v>
      </c>
      <c r="G269" s="11" t="s">
        <v>1247</v>
      </c>
      <c r="H269" s="11"/>
      <c r="I269" s="11" t="s">
        <v>1248</v>
      </c>
      <c r="J269" s="8" t="s">
        <v>37</v>
      </c>
      <c r="K269" s="12" t="s">
        <v>44</v>
      </c>
      <c r="L269" s="8" t="s">
        <v>4</v>
      </c>
      <c r="M269" s="11"/>
      <c r="N269" s="13" t="s">
        <v>11</v>
      </c>
      <c r="O269" s="14"/>
      <c r="P269" s="14"/>
      <c r="Q269" s="14"/>
      <c r="R269" s="13"/>
    </row>
  </sheetData>
  <autoFilter ref="A1:R269"/>
  <conditionalFormatting sqref="N2:N269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"N/A"</formula>
    </cfRule>
  </conditionalFormatting>
  <conditionalFormatting sqref="K2:K269">
    <cfRule type="cellIs" priority="6" operator="equal" aboveAverage="0" equalAverage="0" bottom="0" percent="0" rank="0" text="" dxfId="9">
      <formula>"P1"</formula>
    </cfRule>
  </conditionalFormatting>
  <conditionalFormatting sqref="I2:I269">
    <cfRule type="expression" priority="7" aboveAverage="0" equalAverage="0" bottom="0" percent="0" rank="0" text="" dxfId="10">
      <formula>ISNUMBER(SEARCH("KNOWN DEFECT",I2))</formula>
    </cfRule>
  </conditionalFormatting>
  <dataValidations count="1">
    <dataValidation allowBlank="true" errorStyle="stop" operator="between" showDropDown="false" showErrorMessage="false" showInputMessage="false" sqref="N2:N269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7" t="s">
        <v>1249</v>
      </c>
      <c r="B1" s="7" t="s">
        <v>1250</v>
      </c>
      <c r="C1" s="7" t="s">
        <v>1251</v>
      </c>
      <c r="D1" s="7" t="s">
        <v>1252</v>
      </c>
      <c r="E1" s="7" t="s">
        <v>1253</v>
      </c>
      <c r="F1" s="7" t="s">
        <v>1254</v>
      </c>
      <c r="G1" s="7" t="s">
        <v>1255</v>
      </c>
      <c r="H1" s="7" t="s">
        <v>1256</v>
      </c>
      <c r="I1" s="7" t="s">
        <v>66</v>
      </c>
      <c r="J1" s="7" t="s">
        <v>1257</v>
      </c>
      <c r="K1" s="7" t="s">
        <v>1258</v>
      </c>
      <c r="L1" s="7" t="s">
        <v>1259</v>
      </c>
    </row>
    <row r="2" customFormat="false" ht="15" hidden="false" customHeight="false" outlineLevel="0" collapsed="false">
      <c r="A2" s="8" t="s">
        <v>1260</v>
      </c>
      <c r="B2" s="11" t="s">
        <v>1261</v>
      </c>
      <c r="C2" s="11" t="s">
        <v>1262</v>
      </c>
      <c r="D2" s="11" t="s">
        <v>1263</v>
      </c>
      <c r="E2" s="11" t="s">
        <v>115</v>
      </c>
      <c r="F2" s="8" t="s">
        <v>1264</v>
      </c>
      <c r="G2" s="11" t="s">
        <v>1265</v>
      </c>
      <c r="H2" s="8" t="s">
        <v>1266</v>
      </c>
      <c r="I2" s="13" t="s">
        <v>1267</v>
      </c>
      <c r="J2" s="14"/>
      <c r="K2" s="14"/>
      <c r="L2" s="14"/>
    </row>
    <row r="3" customFormat="false" ht="15" hidden="false" customHeight="false" outlineLevel="0" collapsed="false">
      <c r="A3" s="8" t="s">
        <v>1268</v>
      </c>
      <c r="B3" s="11" t="s">
        <v>1261</v>
      </c>
      <c r="C3" s="11" t="s">
        <v>26</v>
      </c>
      <c r="D3" s="11" t="s">
        <v>1269</v>
      </c>
      <c r="E3" s="11" t="s">
        <v>115</v>
      </c>
      <c r="F3" s="8" t="s">
        <v>1264</v>
      </c>
      <c r="G3" s="11" t="s">
        <v>1270</v>
      </c>
      <c r="H3" s="8" t="s">
        <v>1266</v>
      </c>
      <c r="I3" s="13" t="s">
        <v>1267</v>
      </c>
      <c r="J3" s="14"/>
      <c r="K3" s="14"/>
      <c r="L3" s="14"/>
    </row>
    <row r="4" customFormat="false" ht="15" hidden="false" customHeight="false" outlineLevel="0" collapsed="false">
      <c r="A4" s="8" t="s">
        <v>1271</v>
      </c>
      <c r="B4" s="11" t="s">
        <v>1261</v>
      </c>
      <c r="C4" s="11" t="s">
        <v>26</v>
      </c>
      <c r="D4" s="11" t="s">
        <v>1272</v>
      </c>
      <c r="E4" s="11" t="s">
        <v>115</v>
      </c>
      <c r="F4" s="8" t="s">
        <v>1264</v>
      </c>
      <c r="G4" s="11" t="s">
        <v>1273</v>
      </c>
      <c r="H4" s="8" t="s">
        <v>1266</v>
      </c>
      <c r="I4" s="13" t="s">
        <v>1267</v>
      </c>
      <c r="J4" s="14"/>
      <c r="K4" s="14"/>
      <c r="L4" s="14"/>
    </row>
    <row r="5" customFormat="false" ht="15" hidden="false" customHeight="false" outlineLevel="0" collapsed="false">
      <c r="A5" s="8" t="s">
        <v>1274</v>
      </c>
      <c r="B5" s="11" t="s">
        <v>1261</v>
      </c>
      <c r="C5" s="11" t="s">
        <v>26</v>
      </c>
      <c r="D5" s="11" t="s">
        <v>1275</v>
      </c>
      <c r="E5" s="11" t="s">
        <v>115</v>
      </c>
      <c r="F5" s="8" t="s">
        <v>1264</v>
      </c>
      <c r="G5" s="11" t="s">
        <v>1276</v>
      </c>
      <c r="H5" s="8" t="s">
        <v>1266</v>
      </c>
      <c r="I5" s="13" t="s">
        <v>1267</v>
      </c>
      <c r="J5" s="14"/>
      <c r="K5" s="14"/>
      <c r="L5" s="14"/>
    </row>
    <row r="6" customFormat="false" ht="15" hidden="false" customHeight="false" outlineLevel="0" collapsed="false">
      <c r="A6" s="8" t="s">
        <v>1277</v>
      </c>
      <c r="B6" s="11" t="s">
        <v>1261</v>
      </c>
      <c r="C6" s="11" t="s">
        <v>26</v>
      </c>
      <c r="D6" s="11" t="s">
        <v>1278</v>
      </c>
      <c r="E6" s="11" t="s">
        <v>115</v>
      </c>
      <c r="F6" s="8" t="s">
        <v>1264</v>
      </c>
      <c r="G6" s="11" t="s">
        <v>1279</v>
      </c>
      <c r="H6" s="8" t="s">
        <v>1266</v>
      </c>
      <c r="I6" s="13" t="s">
        <v>1267</v>
      </c>
      <c r="J6" s="14"/>
      <c r="K6" s="14"/>
      <c r="L6" s="14"/>
    </row>
    <row r="7" customFormat="false" ht="15" hidden="false" customHeight="false" outlineLevel="0" collapsed="false">
      <c r="A7" s="8" t="s">
        <v>1280</v>
      </c>
      <c r="B7" s="11" t="s">
        <v>1261</v>
      </c>
      <c r="C7" s="11" t="s">
        <v>26</v>
      </c>
      <c r="D7" s="11" t="s">
        <v>1281</v>
      </c>
      <c r="E7" s="11" t="s">
        <v>115</v>
      </c>
      <c r="F7" s="8" t="s">
        <v>1264</v>
      </c>
      <c r="G7" s="11" t="s">
        <v>1282</v>
      </c>
      <c r="H7" s="8" t="s">
        <v>1266</v>
      </c>
      <c r="I7" s="13" t="s">
        <v>1267</v>
      </c>
      <c r="J7" s="14"/>
      <c r="K7" s="14"/>
      <c r="L7" s="14"/>
    </row>
    <row r="8" customFormat="false" ht="15" hidden="false" customHeight="false" outlineLevel="0" collapsed="false">
      <c r="A8" s="8" t="s">
        <v>1283</v>
      </c>
      <c r="B8" s="11" t="s">
        <v>1261</v>
      </c>
      <c r="C8" s="11" t="s">
        <v>26</v>
      </c>
      <c r="D8" s="11" t="s">
        <v>1284</v>
      </c>
      <c r="E8" s="11" t="s">
        <v>115</v>
      </c>
      <c r="F8" s="8" t="s">
        <v>1264</v>
      </c>
      <c r="G8" s="11" t="s">
        <v>1285</v>
      </c>
      <c r="H8" s="8" t="s">
        <v>1266</v>
      </c>
      <c r="I8" s="13" t="s">
        <v>1267</v>
      </c>
      <c r="J8" s="14"/>
      <c r="K8" s="14"/>
      <c r="L8" s="14"/>
    </row>
    <row r="9" customFormat="false" ht="15" hidden="false" customHeight="false" outlineLevel="0" collapsed="false">
      <c r="A9" s="8" t="s">
        <v>1286</v>
      </c>
      <c r="B9" s="11" t="s">
        <v>1261</v>
      </c>
      <c r="C9" s="11" t="s">
        <v>1287</v>
      </c>
      <c r="D9" s="11" t="s">
        <v>1288</v>
      </c>
      <c r="E9" s="11" t="s">
        <v>115</v>
      </c>
      <c r="F9" s="8" t="s">
        <v>1289</v>
      </c>
      <c r="G9" s="11" t="s">
        <v>1290</v>
      </c>
      <c r="H9" s="8" t="s">
        <v>1266</v>
      </c>
      <c r="I9" s="13" t="s">
        <v>1267</v>
      </c>
      <c r="J9" s="14"/>
      <c r="K9" s="14"/>
      <c r="L9" s="14"/>
    </row>
    <row r="10" customFormat="false" ht="23.85" hidden="false" customHeight="false" outlineLevel="0" collapsed="false">
      <c r="A10" s="8" t="s">
        <v>1291</v>
      </c>
      <c r="B10" s="11" t="s">
        <v>1261</v>
      </c>
      <c r="C10" s="11" t="s">
        <v>1292</v>
      </c>
      <c r="D10" s="11" t="s">
        <v>1293</v>
      </c>
      <c r="E10" s="11" t="s">
        <v>73</v>
      </c>
      <c r="F10" s="8" t="s">
        <v>1289</v>
      </c>
      <c r="G10" s="11" t="s">
        <v>1294</v>
      </c>
      <c r="H10" s="8" t="s">
        <v>1266</v>
      </c>
      <c r="I10" s="13" t="s">
        <v>1267</v>
      </c>
      <c r="J10" s="14"/>
      <c r="K10" s="14"/>
      <c r="L10" s="14"/>
    </row>
    <row r="11" customFormat="false" ht="15" hidden="false" customHeight="false" outlineLevel="0" collapsed="false">
      <c r="A11" s="8" t="s">
        <v>1295</v>
      </c>
      <c r="B11" s="11" t="s">
        <v>965</v>
      </c>
      <c r="C11" s="11" t="s">
        <v>1296</v>
      </c>
      <c r="D11" s="11" t="s">
        <v>1297</v>
      </c>
      <c r="E11" s="11" t="s">
        <v>966</v>
      </c>
      <c r="F11" s="8" t="s">
        <v>1264</v>
      </c>
      <c r="G11" s="11" t="s">
        <v>1298</v>
      </c>
      <c r="H11" s="8" t="s">
        <v>1266</v>
      </c>
      <c r="I11" s="13" t="s">
        <v>1267</v>
      </c>
      <c r="J11" s="14"/>
      <c r="K11" s="14"/>
      <c r="L11" s="14"/>
    </row>
    <row r="12" customFormat="false" ht="15" hidden="false" customHeight="false" outlineLevel="0" collapsed="false">
      <c r="A12" s="8" t="s">
        <v>1299</v>
      </c>
      <c r="B12" s="11" t="s">
        <v>1300</v>
      </c>
      <c r="C12" s="11" t="s">
        <v>1301</v>
      </c>
      <c r="D12" s="11" t="s">
        <v>1302</v>
      </c>
      <c r="E12" s="11" t="s">
        <v>115</v>
      </c>
      <c r="F12" s="8" t="s">
        <v>1264</v>
      </c>
      <c r="G12" s="11" t="s">
        <v>1303</v>
      </c>
      <c r="H12" s="8" t="s">
        <v>1266</v>
      </c>
      <c r="I12" s="13" t="s">
        <v>1267</v>
      </c>
      <c r="J12" s="14"/>
      <c r="K12" s="14"/>
      <c r="L12" s="14"/>
    </row>
    <row r="13" customFormat="false" ht="23.85" hidden="false" customHeight="false" outlineLevel="0" collapsed="false">
      <c r="A13" s="8" t="s">
        <v>1304</v>
      </c>
      <c r="B13" s="11" t="s">
        <v>38</v>
      </c>
      <c r="C13" s="11" t="s">
        <v>1305</v>
      </c>
      <c r="D13" s="11" t="s">
        <v>1306</v>
      </c>
      <c r="E13" s="11" t="s">
        <v>73</v>
      </c>
      <c r="F13" s="8" t="s">
        <v>1289</v>
      </c>
      <c r="G13" s="11" t="s">
        <v>1307</v>
      </c>
      <c r="H13" s="8" t="s">
        <v>1266</v>
      </c>
      <c r="I13" s="13" t="s">
        <v>1267</v>
      </c>
      <c r="J13" s="14"/>
      <c r="K13" s="14"/>
      <c r="L13" s="14"/>
    </row>
    <row r="14" customFormat="false" ht="15" hidden="false" customHeight="false" outlineLevel="0" collapsed="false">
      <c r="A14" s="8" t="s">
        <v>1308</v>
      </c>
      <c r="B14" s="11" t="s">
        <v>31</v>
      </c>
      <c r="C14" s="11" t="s">
        <v>1309</v>
      </c>
      <c r="D14" s="11" t="s">
        <v>1310</v>
      </c>
      <c r="E14" s="11" t="s">
        <v>1311</v>
      </c>
      <c r="F14" s="8" t="s">
        <v>1289</v>
      </c>
      <c r="G14" s="11" t="s">
        <v>1312</v>
      </c>
      <c r="H14" s="8" t="s">
        <v>1266</v>
      </c>
      <c r="I14" s="13" t="s">
        <v>1267</v>
      </c>
      <c r="J14" s="14"/>
      <c r="K14" s="14"/>
      <c r="L14" s="14"/>
    </row>
    <row r="15" customFormat="false" ht="15" hidden="false" customHeight="false" outlineLevel="0" collapsed="false">
      <c r="A15" s="8" t="s">
        <v>1313</v>
      </c>
      <c r="B15" s="11" t="s">
        <v>31</v>
      </c>
      <c r="C15" s="11" t="s">
        <v>1309</v>
      </c>
      <c r="D15" s="11" t="s">
        <v>1314</v>
      </c>
      <c r="E15" s="11" t="s">
        <v>1311</v>
      </c>
      <c r="F15" s="8" t="s">
        <v>1315</v>
      </c>
      <c r="G15" s="11" t="s">
        <v>1316</v>
      </c>
      <c r="H15" s="8" t="s">
        <v>1266</v>
      </c>
      <c r="I15" s="13" t="s">
        <v>1267</v>
      </c>
      <c r="J15" s="14"/>
      <c r="K15" s="14"/>
      <c r="L15" s="14"/>
    </row>
    <row r="16" customFormat="false" ht="23.85" hidden="false" customHeight="false" outlineLevel="0" collapsed="false">
      <c r="A16" s="8" t="s">
        <v>1317</v>
      </c>
      <c r="B16" s="11" t="s">
        <v>30</v>
      </c>
      <c r="C16" s="11" t="s">
        <v>1318</v>
      </c>
      <c r="D16" s="11" t="s">
        <v>1319</v>
      </c>
      <c r="E16" s="11" t="s">
        <v>1320</v>
      </c>
      <c r="F16" s="8" t="s">
        <v>1289</v>
      </c>
      <c r="G16" s="11" t="s">
        <v>1321</v>
      </c>
      <c r="H16" s="8" t="s">
        <v>1266</v>
      </c>
      <c r="I16" s="13" t="s">
        <v>1267</v>
      </c>
      <c r="J16" s="14"/>
      <c r="K16" s="14"/>
      <c r="L16" s="14"/>
    </row>
  </sheetData>
  <autoFilter ref="A1:L16"/>
  <dataValidations count="1">
    <dataValidation allowBlank="true" errorStyle="stop" operator="between" showDropDown="false" showErrorMessage="false" showInputMessage="false" sqref="I2:I16" type="list">
      <formula1>"Open,In Progress,Fixed,Retest,Closed,Rejected"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23.85" hidden="false" customHeight="false" outlineLevel="0" collapsed="false">
      <c r="A1" s="7" t="s">
        <v>1322</v>
      </c>
      <c r="B1" s="7" t="s">
        <v>1323</v>
      </c>
      <c r="C1" s="7" t="s">
        <v>1324</v>
      </c>
      <c r="D1" s="7" t="s">
        <v>1325</v>
      </c>
      <c r="E1" s="7" t="s">
        <v>1326</v>
      </c>
      <c r="F1" s="7" t="s">
        <v>1327</v>
      </c>
      <c r="G1" s="7" t="s">
        <v>1328</v>
      </c>
    </row>
    <row r="2" customFormat="false" ht="15" hidden="false" customHeight="false" outlineLevel="0" collapsed="false">
      <c r="A2" s="8" t="n">
        <v>1</v>
      </c>
      <c r="B2" s="11" t="s">
        <v>1307</v>
      </c>
      <c r="C2" s="11" t="s">
        <v>21</v>
      </c>
      <c r="D2" s="11" t="s">
        <v>1329</v>
      </c>
      <c r="E2" s="8" t="s">
        <v>3</v>
      </c>
      <c r="F2" s="8" t="s">
        <v>3</v>
      </c>
      <c r="G2" s="13"/>
    </row>
    <row r="3" customFormat="false" ht="15" hidden="false" customHeight="false" outlineLevel="0" collapsed="false">
      <c r="A3" s="8" t="n">
        <v>2</v>
      </c>
      <c r="B3" s="11" t="s">
        <v>1330</v>
      </c>
      <c r="C3" s="11" t="s">
        <v>1331</v>
      </c>
      <c r="D3" s="11" t="s">
        <v>1332</v>
      </c>
      <c r="E3" s="8" t="s">
        <v>3</v>
      </c>
      <c r="F3" s="8" t="s">
        <v>3</v>
      </c>
      <c r="G3" s="13"/>
    </row>
    <row r="4" customFormat="false" ht="15" hidden="false" customHeight="false" outlineLevel="0" collapsed="false">
      <c r="A4" s="8" t="n">
        <v>3</v>
      </c>
      <c r="B4" s="11" t="s">
        <v>1333</v>
      </c>
      <c r="C4" s="11" t="s">
        <v>1331</v>
      </c>
      <c r="D4" s="11" t="s">
        <v>1334</v>
      </c>
      <c r="E4" s="8" t="s">
        <v>3</v>
      </c>
      <c r="F4" s="8" t="s">
        <v>3</v>
      </c>
      <c r="G4" s="13"/>
    </row>
    <row r="5" customFormat="false" ht="15" hidden="false" customHeight="false" outlineLevel="0" collapsed="false">
      <c r="A5" s="8" t="n">
        <v>4</v>
      </c>
      <c r="B5" s="11" t="s">
        <v>1335</v>
      </c>
      <c r="C5" s="11" t="s">
        <v>1331</v>
      </c>
      <c r="D5" s="11" t="s">
        <v>1336</v>
      </c>
      <c r="E5" s="8" t="s">
        <v>3</v>
      </c>
      <c r="F5" s="8" t="s">
        <v>3</v>
      </c>
      <c r="G5" s="13"/>
    </row>
    <row r="6" customFormat="false" ht="15" hidden="false" customHeight="false" outlineLevel="0" collapsed="false">
      <c r="A6" s="8" t="n">
        <v>5</v>
      </c>
      <c r="B6" s="11" t="s">
        <v>1337</v>
      </c>
      <c r="C6" s="11" t="s">
        <v>1331</v>
      </c>
      <c r="D6" s="11" t="s">
        <v>1338</v>
      </c>
      <c r="E6" s="8" t="s">
        <v>3</v>
      </c>
      <c r="F6" s="8" t="s">
        <v>3</v>
      </c>
      <c r="G6" s="13"/>
    </row>
    <row r="7" customFormat="false" ht="15" hidden="false" customHeight="false" outlineLevel="0" collapsed="false">
      <c r="A7" s="8" t="n">
        <v>6</v>
      </c>
      <c r="B7" s="11" t="s">
        <v>1339</v>
      </c>
      <c r="C7" s="11" t="s">
        <v>1331</v>
      </c>
      <c r="D7" s="11" t="s">
        <v>1340</v>
      </c>
      <c r="E7" s="8" t="s">
        <v>3</v>
      </c>
      <c r="F7" s="8" t="s">
        <v>3</v>
      </c>
      <c r="G7" s="13"/>
    </row>
    <row r="8" customFormat="false" ht="15" hidden="false" customHeight="false" outlineLevel="0" collapsed="false">
      <c r="A8" s="8" t="n">
        <v>7</v>
      </c>
      <c r="B8" s="11" t="s">
        <v>1341</v>
      </c>
      <c r="C8" s="11" t="s">
        <v>1331</v>
      </c>
      <c r="D8" s="11" t="s">
        <v>1342</v>
      </c>
      <c r="E8" s="8" t="s">
        <v>3</v>
      </c>
      <c r="F8" s="8" t="s">
        <v>3</v>
      </c>
      <c r="G8" s="13"/>
    </row>
    <row r="9" customFormat="false" ht="15" hidden="false" customHeight="false" outlineLevel="0" collapsed="false">
      <c r="A9" s="8" t="n">
        <v>8</v>
      </c>
      <c r="B9" s="11" t="s">
        <v>1343</v>
      </c>
      <c r="C9" s="11" t="s">
        <v>1344</v>
      </c>
      <c r="D9" s="11" t="s">
        <v>1345</v>
      </c>
      <c r="E9" s="8" t="s">
        <v>3</v>
      </c>
      <c r="F9" s="8" t="s">
        <v>3</v>
      </c>
      <c r="G9" s="13"/>
    </row>
    <row r="10" customFormat="false" ht="15" hidden="false" customHeight="false" outlineLevel="0" collapsed="false">
      <c r="A10" s="8" t="n">
        <v>9</v>
      </c>
      <c r="B10" s="11" t="s">
        <v>1346</v>
      </c>
      <c r="C10" s="11" t="s">
        <v>1344</v>
      </c>
      <c r="D10" s="11" t="s">
        <v>1347</v>
      </c>
      <c r="E10" s="8" t="s">
        <v>3</v>
      </c>
      <c r="F10" s="8" t="s">
        <v>3</v>
      </c>
      <c r="G10" s="13"/>
    </row>
    <row r="11" customFormat="false" ht="15" hidden="false" customHeight="false" outlineLevel="0" collapsed="false">
      <c r="A11" s="8" t="n">
        <v>10</v>
      </c>
      <c r="B11" s="11" t="s">
        <v>1348</v>
      </c>
      <c r="C11" s="11" t="s">
        <v>1331</v>
      </c>
      <c r="D11" s="11" t="s">
        <v>1338</v>
      </c>
      <c r="E11" s="8" t="s">
        <v>3</v>
      </c>
      <c r="F11" s="8" t="s">
        <v>3</v>
      </c>
      <c r="G11" s="13"/>
    </row>
    <row r="12" customFormat="false" ht="15" hidden="false" customHeight="false" outlineLevel="0" collapsed="false">
      <c r="A12" s="8" t="n">
        <v>11</v>
      </c>
      <c r="B12" s="11" t="s">
        <v>1349</v>
      </c>
      <c r="C12" s="11" t="s">
        <v>1350</v>
      </c>
      <c r="D12" s="11" t="s">
        <v>1351</v>
      </c>
      <c r="E12" s="8" t="s">
        <v>3</v>
      </c>
      <c r="F12" s="8" t="s">
        <v>3</v>
      </c>
      <c r="G12" s="13"/>
    </row>
    <row r="13" customFormat="false" ht="15" hidden="false" customHeight="false" outlineLevel="0" collapsed="false">
      <c r="A13" s="8" t="n">
        <v>12</v>
      </c>
      <c r="B13" s="11" t="s">
        <v>1352</v>
      </c>
      <c r="C13" s="11" t="s">
        <v>1344</v>
      </c>
      <c r="D13" s="11" t="s">
        <v>1353</v>
      </c>
      <c r="E13" s="8" t="s">
        <v>3</v>
      </c>
      <c r="F13" s="8" t="s">
        <v>3</v>
      </c>
      <c r="G13" s="13"/>
    </row>
    <row r="14" customFormat="false" ht="23.85" hidden="false" customHeight="false" outlineLevel="0" collapsed="false">
      <c r="A14" s="8" t="n">
        <v>13</v>
      </c>
      <c r="B14" s="11" t="s">
        <v>1354</v>
      </c>
      <c r="C14" s="11" t="s">
        <v>1344</v>
      </c>
      <c r="D14" s="11" t="s">
        <v>1353</v>
      </c>
      <c r="E14" s="8" t="s">
        <v>3</v>
      </c>
      <c r="F14" s="8" t="s">
        <v>3</v>
      </c>
      <c r="G14" s="13"/>
    </row>
    <row r="15" customFormat="false" ht="15" hidden="false" customHeight="false" outlineLevel="0" collapsed="false">
      <c r="A15" s="8" t="n">
        <v>14</v>
      </c>
      <c r="B15" s="11" t="s">
        <v>1355</v>
      </c>
      <c r="C15" s="11" t="s">
        <v>1344</v>
      </c>
      <c r="D15" s="11" t="s">
        <v>1353</v>
      </c>
      <c r="E15" s="8" t="s">
        <v>3</v>
      </c>
      <c r="F15" s="8" t="s">
        <v>3</v>
      </c>
      <c r="G15" s="13"/>
    </row>
    <row r="16" customFormat="false" ht="23.85" hidden="false" customHeight="false" outlineLevel="0" collapsed="false">
      <c r="A16" s="8" t="n">
        <v>15</v>
      </c>
      <c r="B16" s="11" t="s">
        <v>1356</v>
      </c>
      <c r="C16" s="11" t="s">
        <v>1344</v>
      </c>
      <c r="D16" s="11" t="s">
        <v>1353</v>
      </c>
      <c r="E16" s="8" t="s">
        <v>3</v>
      </c>
      <c r="F16" s="8" t="s">
        <v>3</v>
      </c>
      <c r="G16" s="13"/>
    </row>
    <row r="17" customFormat="false" ht="15" hidden="false" customHeight="false" outlineLevel="0" collapsed="false">
      <c r="A17" s="8" t="n">
        <v>16</v>
      </c>
      <c r="B17" s="11" t="s">
        <v>1357</v>
      </c>
      <c r="C17" s="11" t="s">
        <v>1344</v>
      </c>
      <c r="D17" s="11" t="s">
        <v>1345</v>
      </c>
      <c r="E17" s="8" t="s">
        <v>3</v>
      </c>
      <c r="F17" s="8" t="s">
        <v>3</v>
      </c>
      <c r="G17" s="13"/>
    </row>
    <row r="18" customFormat="false" ht="23.85" hidden="false" customHeight="false" outlineLevel="0" collapsed="false">
      <c r="A18" s="8" t="n">
        <v>17</v>
      </c>
      <c r="B18" s="11" t="s">
        <v>1358</v>
      </c>
      <c r="C18" s="11" t="s">
        <v>1331</v>
      </c>
      <c r="D18" s="11" t="s">
        <v>1338</v>
      </c>
      <c r="E18" s="8" t="s">
        <v>3</v>
      </c>
      <c r="F18" s="8" t="s">
        <v>3</v>
      </c>
      <c r="G18" s="13"/>
    </row>
    <row r="19" customFormat="false" ht="15" hidden="false" customHeight="false" outlineLevel="0" collapsed="false">
      <c r="A19" s="8" t="n">
        <v>18</v>
      </c>
      <c r="B19" s="11" t="s">
        <v>1359</v>
      </c>
      <c r="C19" s="11" t="s">
        <v>1331</v>
      </c>
      <c r="D19" s="11" t="s">
        <v>1342</v>
      </c>
      <c r="E19" s="8" t="s">
        <v>3</v>
      </c>
      <c r="F19" s="8" t="s">
        <v>3</v>
      </c>
      <c r="G19" s="13"/>
    </row>
    <row r="20" customFormat="false" ht="23.85" hidden="false" customHeight="false" outlineLevel="0" collapsed="false">
      <c r="A20" s="8" t="n">
        <v>19</v>
      </c>
      <c r="B20" s="11" t="s">
        <v>1360</v>
      </c>
      <c r="C20" s="11" t="s">
        <v>1344</v>
      </c>
      <c r="D20" s="11" t="s">
        <v>1345</v>
      </c>
      <c r="E20" s="8" t="s">
        <v>3</v>
      </c>
      <c r="F20" s="8" t="s">
        <v>3</v>
      </c>
      <c r="G20" s="13"/>
    </row>
    <row r="21" customFormat="false" ht="15" hidden="false" customHeight="false" outlineLevel="0" collapsed="false">
      <c r="A21" s="8" t="n">
        <v>20</v>
      </c>
      <c r="B21" s="11" t="s">
        <v>1361</v>
      </c>
      <c r="C21" s="11" t="s">
        <v>1344</v>
      </c>
      <c r="D21" s="11" t="s">
        <v>1345</v>
      </c>
      <c r="E21" s="8" t="s">
        <v>3</v>
      </c>
      <c r="F21" s="8" t="s">
        <v>3</v>
      </c>
      <c r="G21" s="13"/>
    </row>
    <row r="22" customFormat="false" ht="15" hidden="false" customHeight="false" outlineLevel="0" collapsed="false">
      <c r="A22" s="8" t="n">
        <v>21</v>
      </c>
      <c r="B22" s="11" t="s">
        <v>1362</v>
      </c>
      <c r="C22" s="11" t="s">
        <v>1344</v>
      </c>
      <c r="D22" s="11" t="s">
        <v>1353</v>
      </c>
      <c r="E22" s="8" t="s">
        <v>3</v>
      </c>
      <c r="F22" s="8" t="s">
        <v>3</v>
      </c>
      <c r="G22" s="13"/>
    </row>
    <row r="23" customFormat="false" ht="15" hidden="false" customHeight="false" outlineLevel="0" collapsed="false">
      <c r="A23" s="8" t="n">
        <v>22</v>
      </c>
      <c r="B23" s="11" t="s">
        <v>1363</v>
      </c>
      <c r="C23" s="11" t="s">
        <v>1344</v>
      </c>
      <c r="D23" s="11" t="s">
        <v>1353</v>
      </c>
      <c r="E23" s="8" t="s">
        <v>3</v>
      </c>
      <c r="F23" s="8" t="s">
        <v>3</v>
      </c>
      <c r="G23" s="13"/>
    </row>
    <row r="24" customFormat="false" ht="15" hidden="false" customHeight="false" outlineLevel="0" collapsed="false">
      <c r="A24" s="8" t="n">
        <v>23</v>
      </c>
      <c r="B24" s="11" t="s">
        <v>1364</v>
      </c>
      <c r="C24" s="11" t="s">
        <v>1331</v>
      </c>
      <c r="D24" s="11" t="s">
        <v>1338</v>
      </c>
      <c r="E24" s="8" t="s">
        <v>3</v>
      </c>
      <c r="F24" s="8" t="s">
        <v>3</v>
      </c>
      <c r="G24" s="13"/>
    </row>
    <row r="25" customFormat="false" ht="15" hidden="false" customHeight="false" outlineLevel="0" collapsed="false">
      <c r="A25" s="8" t="n">
        <v>24</v>
      </c>
      <c r="B25" s="11" t="s">
        <v>1365</v>
      </c>
      <c r="C25" s="11" t="s">
        <v>1344</v>
      </c>
      <c r="D25" s="11" t="s">
        <v>1366</v>
      </c>
      <c r="E25" s="8" t="s">
        <v>3</v>
      </c>
      <c r="F25" s="8" t="s">
        <v>3</v>
      </c>
      <c r="G25" s="13"/>
    </row>
    <row r="26" customFormat="false" ht="23.85" hidden="false" customHeight="false" outlineLevel="0" collapsed="false">
      <c r="A26" s="8" t="n">
        <v>25</v>
      </c>
      <c r="B26" s="11" t="s">
        <v>1367</v>
      </c>
      <c r="C26" s="11" t="s">
        <v>1344</v>
      </c>
      <c r="D26" s="11" t="s">
        <v>1366</v>
      </c>
      <c r="E26" s="8" t="s">
        <v>3</v>
      </c>
      <c r="F26" s="8" t="s">
        <v>3</v>
      </c>
      <c r="G26" s="13"/>
    </row>
    <row r="27" customFormat="false" ht="15" hidden="false" customHeight="false" outlineLevel="0" collapsed="false">
      <c r="A27" s="8" t="n">
        <v>26</v>
      </c>
      <c r="B27" s="11" t="s">
        <v>1265</v>
      </c>
      <c r="C27" s="11" t="s">
        <v>1368</v>
      </c>
      <c r="D27" s="15" t="s">
        <v>1369</v>
      </c>
      <c r="E27" s="8" t="s">
        <v>3</v>
      </c>
      <c r="F27" s="8" t="s">
        <v>3</v>
      </c>
      <c r="G27" s="13"/>
    </row>
    <row r="28" customFormat="false" ht="15" hidden="false" customHeight="false" outlineLevel="0" collapsed="false">
      <c r="A28" s="8" t="n">
        <v>27</v>
      </c>
      <c r="B28" s="11" t="s">
        <v>1370</v>
      </c>
      <c r="C28" s="11" t="s">
        <v>1344</v>
      </c>
      <c r="D28" s="11" t="s">
        <v>1353</v>
      </c>
      <c r="E28" s="8" t="s">
        <v>3</v>
      </c>
      <c r="F28" s="8" t="s">
        <v>3</v>
      </c>
      <c r="G28" s="13"/>
    </row>
    <row r="29" customFormat="false" ht="15" hidden="false" customHeight="false" outlineLevel="0" collapsed="false">
      <c r="A29" s="8" t="n">
        <v>28</v>
      </c>
      <c r="B29" s="11" t="s">
        <v>1371</v>
      </c>
      <c r="C29" s="11" t="s">
        <v>1331</v>
      </c>
      <c r="D29" s="11" t="s">
        <v>1338</v>
      </c>
      <c r="E29" s="8" t="s">
        <v>3</v>
      </c>
      <c r="F29" s="8" t="s">
        <v>3</v>
      </c>
      <c r="G29" s="13"/>
    </row>
    <row r="30" customFormat="false" ht="15" hidden="false" customHeight="false" outlineLevel="0" collapsed="false">
      <c r="A30" s="8" t="n">
        <v>29</v>
      </c>
      <c r="B30" s="11" t="s">
        <v>1372</v>
      </c>
      <c r="C30" s="11" t="s">
        <v>1350</v>
      </c>
      <c r="D30" s="11" t="s">
        <v>1351</v>
      </c>
      <c r="E30" s="8" t="s">
        <v>3</v>
      </c>
      <c r="F30" s="8" t="s">
        <v>3</v>
      </c>
      <c r="G30" s="13"/>
    </row>
    <row r="31" customFormat="false" ht="15" hidden="false" customHeight="false" outlineLevel="0" collapsed="false">
      <c r="A31" s="8" t="n">
        <v>30</v>
      </c>
      <c r="B31" s="11" t="s">
        <v>1373</v>
      </c>
      <c r="C31" s="11" t="s">
        <v>1350</v>
      </c>
      <c r="D31" s="11" t="s">
        <v>1351</v>
      </c>
      <c r="E31" s="8" t="s">
        <v>3</v>
      </c>
      <c r="F31" s="8" t="s">
        <v>3</v>
      </c>
      <c r="G31" s="13"/>
    </row>
    <row r="32" customFormat="false" ht="15" hidden="false" customHeight="false" outlineLevel="0" collapsed="false">
      <c r="A32" s="8" t="n">
        <v>31</v>
      </c>
      <c r="B32" s="11" t="s">
        <v>1374</v>
      </c>
      <c r="C32" s="11" t="s">
        <v>1350</v>
      </c>
      <c r="D32" s="11" t="s">
        <v>1351</v>
      </c>
      <c r="E32" s="8" t="s">
        <v>3</v>
      </c>
      <c r="F32" s="8" t="s">
        <v>3</v>
      </c>
      <c r="G32" s="13"/>
    </row>
    <row r="33" customFormat="false" ht="15" hidden="false" customHeight="false" outlineLevel="0" collapsed="false">
      <c r="A33" s="8" t="n">
        <v>32</v>
      </c>
      <c r="B33" s="11" t="s">
        <v>1375</v>
      </c>
      <c r="C33" s="11" t="s">
        <v>1350</v>
      </c>
      <c r="D33" s="11" t="s">
        <v>1376</v>
      </c>
      <c r="E33" s="8" t="s">
        <v>3</v>
      </c>
      <c r="F33" s="8" t="s">
        <v>3</v>
      </c>
      <c r="G33" s="13"/>
    </row>
    <row r="34" customFormat="false" ht="15" hidden="false" customHeight="false" outlineLevel="0" collapsed="false">
      <c r="A34" s="8" t="n">
        <v>33</v>
      </c>
      <c r="B34" s="11" t="s">
        <v>1377</v>
      </c>
      <c r="C34" s="11" t="s">
        <v>1350</v>
      </c>
      <c r="D34" s="11" t="s">
        <v>1351</v>
      </c>
      <c r="E34" s="8" t="s">
        <v>3</v>
      </c>
      <c r="F34" s="8" t="s">
        <v>3</v>
      </c>
      <c r="G34" s="13"/>
    </row>
    <row r="35" customFormat="false" ht="15" hidden="false" customHeight="false" outlineLevel="0" collapsed="false">
      <c r="A35" s="8" t="n">
        <v>34</v>
      </c>
      <c r="B35" s="11" t="s">
        <v>1378</v>
      </c>
      <c r="C35" s="11" t="s">
        <v>1350</v>
      </c>
      <c r="D35" s="11" t="s">
        <v>1351</v>
      </c>
      <c r="E35" s="8" t="s">
        <v>3</v>
      </c>
      <c r="F35" s="8" t="s">
        <v>3</v>
      </c>
      <c r="G35" s="13"/>
    </row>
    <row r="36" customFormat="false" ht="15" hidden="false" customHeight="false" outlineLevel="0" collapsed="false">
      <c r="A36" s="8" t="n">
        <v>35</v>
      </c>
      <c r="B36" s="11" t="s">
        <v>1379</v>
      </c>
      <c r="C36" s="11" t="s">
        <v>1350</v>
      </c>
      <c r="D36" s="11" t="s">
        <v>1351</v>
      </c>
      <c r="E36" s="8" t="s">
        <v>3</v>
      </c>
      <c r="F36" s="8" t="s">
        <v>3</v>
      </c>
      <c r="G36" s="13"/>
    </row>
    <row r="37" customFormat="false" ht="15" hidden="false" customHeight="false" outlineLevel="0" collapsed="false">
      <c r="A37" s="8" t="n">
        <v>36</v>
      </c>
      <c r="B37" s="11" t="s">
        <v>1321</v>
      </c>
      <c r="C37" s="11" t="s">
        <v>1350</v>
      </c>
      <c r="D37" s="11" t="s">
        <v>1380</v>
      </c>
      <c r="E37" s="8" t="s">
        <v>3</v>
      </c>
      <c r="F37" s="8" t="s">
        <v>3</v>
      </c>
      <c r="G37" s="13"/>
    </row>
    <row r="38" customFormat="false" ht="15" hidden="false" customHeight="false" outlineLevel="0" collapsed="false">
      <c r="A38" s="8" t="n">
        <v>37</v>
      </c>
      <c r="B38" s="11" t="s">
        <v>1298</v>
      </c>
      <c r="C38" s="11" t="s">
        <v>1381</v>
      </c>
      <c r="D38" s="15" t="s">
        <v>1382</v>
      </c>
      <c r="E38" s="8" t="s">
        <v>3</v>
      </c>
      <c r="F38" s="8" t="s">
        <v>3</v>
      </c>
      <c r="G38" s="13"/>
    </row>
    <row r="39" customFormat="false" ht="15" hidden="false" customHeight="false" outlineLevel="0" collapsed="false">
      <c r="A39" s="8" t="n">
        <v>38</v>
      </c>
      <c r="B39" s="11" t="s">
        <v>1383</v>
      </c>
      <c r="C39" s="11" t="s">
        <v>1350</v>
      </c>
      <c r="D39" s="11" t="s">
        <v>1384</v>
      </c>
      <c r="E39" s="8" t="s">
        <v>3</v>
      </c>
      <c r="F39" s="8" t="s">
        <v>3</v>
      </c>
      <c r="G39" s="13"/>
    </row>
    <row r="40" customFormat="false" ht="15" hidden="false" customHeight="false" outlineLevel="0" collapsed="false">
      <c r="A40" s="8" t="n">
        <v>39</v>
      </c>
      <c r="B40" s="11" t="s">
        <v>1385</v>
      </c>
      <c r="C40" s="11" t="s">
        <v>1350</v>
      </c>
      <c r="D40" s="11" t="s">
        <v>1386</v>
      </c>
      <c r="E40" s="8" t="s">
        <v>3</v>
      </c>
      <c r="F40" s="8" t="s">
        <v>3</v>
      </c>
      <c r="G40" s="13"/>
    </row>
    <row r="41" customFormat="false" ht="15" hidden="false" customHeight="false" outlineLevel="0" collapsed="false">
      <c r="A41" s="8" t="n">
        <v>40</v>
      </c>
      <c r="B41" s="11" t="s">
        <v>1387</v>
      </c>
      <c r="C41" s="11" t="s">
        <v>1331</v>
      </c>
      <c r="D41" s="11" t="s">
        <v>1338</v>
      </c>
      <c r="E41" s="8" t="s">
        <v>3</v>
      </c>
      <c r="F41" s="8" t="s">
        <v>3</v>
      </c>
      <c r="G41" s="13"/>
    </row>
    <row r="42" customFormat="false" ht="15" hidden="false" customHeight="false" outlineLevel="0" collapsed="false">
      <c r="A42" s="8" t="n">
        <v>41</v>
      </c>
      <c r="B42" s="11" t="s">
        <v>1388</v>
      </c>
      <c r="C42" s="11" t="s">
        <v>1389</v>
      </c>
      <c r="D42" s="11" t="s">
        <v>1390</v>
      </c>
      <c r="E42" s="8" t="s">
        <v>3</v>
      </c>
      <c r="F42" s="8" t="s">
        <v>3</v>
      </c>
      <c r="G42" s="13"/>
    </row>
    <row r="43" customFormat="false" ht="15" hidden="false" customHeight="false" outlineLevel="0" collapsed="false">
      <c r="A43" s="8" t="n">
        <v>42</v>
      </c>
      <c r="B43" s="11" t="s">
        <v>1391</v>
      </c>
      <c r="C43" s="11" t="s">
        <v>1389</v>
      </c>
      <c r="D43" s="11" t="s">
        <v>1390</v>
      </c>
      <c r="E43" s="8" t="s">
        <v>3</v>
      </c>
      <c r="F43" s="8" t="s">
        <v>3</v>
      </c>
      <c r="G43" s="13"/>
    </row>
    <row r="44" customFormat="false" ht="15" hidden="false" customHeight="false" outlineLevel="0" collapsed="false">
      <c r="A44" s="8" t="n">
        <v>43</v>
      </c>
      <c r="B44" s="11" t="s">
        <v>1392</v>
      </c>
      <c r="C44" s="11" t="s">
        <v>1389</v>
      </c>
      <c r="D44" s="11" t="s">
        <v>1390</v>
      </c>
      <c r="E44" s="8" t="s">
        <v>3</v>
      </c>
      <c r="F44" s="8" t="s">
        <v>3</v>
      </c>
      <c r="G44" s="13"/>
    </row>
    <row r="45" customFormat="false" ht="15" hidden="false" customHeight="false" outlineLevel="0" collapsed="false">
      <c r="A45" s="8" t="n">
        <v>44</v>
      </c>
      <c r="B45" s="11" t="s">
        <v>1393</v>
      </c>
      <c r="C45" s="11" t="s">
        <v>1389</v>
      </c>
      <c r="D45" s="11" t="s">
        <v>1390</v>
      </c>
      <c r="E45" s="8" t="s">
        <v>3</v>
      </c>
      <c r="F45" s="8" t="s">
        <v>3</v>
      </c>
      <c r="G45" s="13"/>
    </row>
    <row r="46" customFormat="false" ht="15" hidden="false" customHeight="false" outlineLevel="0" collapsed="false">
      <c r="A46" s="8" t="n">
        <v>45</v>
      </c>
      <c r="B46" s="11" t="s">
        <v>1394</v>
      </c>
      <c r="C46" s="11" t="s">
        <v>1331</v>
      </c>
      <c r="D46" s="11" t="s">
        <v>1338</v>
      </c>
      <c r="E46" s="8" t="s">
        <v>3</v>
      </c>
      <c r="F46" s="8" t="s">
        <v>3</v>
      </c>
      <c r="G46" s="13"/>
    </row>
    <row r="47" customFormat="false" ht="15" hidden="false" customHeight="false" outlineLevel="0" collapsed="false">
      <c r="A47" s="8" t="n">
        <v>46</v>
      </c>
      <c r="B47" s="11" t="s">
        <v>1395</v>
      </c>
      <c r="C47" s="11" t="s">
        <v>1331</v>
      </c>
      <c r="D47" s="11" t="s">
        <v>1396</v>
      </c>
      <c r="E47" s="8" t="s">
        <v>3</v>
      </c>
      <c r="F47" s="8" t="s">
        <v>3</v>
      </c>
      <c r="G47" s="13"/>
    </row>
    <row r="48" customFormat="false" ht="15" hidden="false" customHeight="false" outlineLevel="0" collapsed="false">
      <c r="A48" s="8" t="n">
        <v>47</v>
      </c>
      <c r="B48" s="11" t="s">
        <v>1397</v>
      </c>
      <c r="C48" s="11" t="s">
        <v>1344</v>
      </c>
      <c r="D48" s="11" t="s">
        <v>1366</v>
      </c>
      <c r="E48" s="8" t="s">
        <v>3</v>
      </c>
      <c r="F48" s="8" t="s">
        <v>3</v>
      </c>
      <c r="G48" s="13"/>
    </row>
    <row r="49" customFormat="false" ht="15" hidden="false" customHeight="false" outlineLevel="0" collapsed="false">
      <c r="A49" s="8" t="n">
        <v>48</v>
      </c>
      <c r="B49" s="11" t="s">
        <v>1398</v>
      </c>
      <c r="C49" s="11" t="s">
        <v>1331</v>
      </c>
      <c r="D49" s="11" t="s">
        <v>1140</v>
      </c>
      <c r="E49" s="8" t="s">
        <v>3</v>
      </c>
      <c r="F49" s="8" t="s">
        <v>3</v>
      </c>
      <c r="G49" s="13"/>
    </row>
    <row r="50" customFormat="false" ht="15" hidden="false" customHeight="false" outlineLevel="0" collapsed="false">
      <c r="A50" s="8" t="n">
        <v>49</v>
      </c>
      <c r="B50" s="11" t="s">
        <v>1399</v>
      </c>
      <c r="C50" s="11" t="s">
        <v>1350</v>
      </c>
      <c r="D50" s="11" t="s">
        <v>1380</v>
      </c>
      <c r="E50" s="8" t="s">
        <v>3</v>
      </c>
      <c r="F50" s="8" t="s">
        <v>3</v>
      </c>
      <c r="G50" s="13"/>
    </row>
    <row r="51" customFormat="false" ht="15" hidden="false" customHeight="false" outlineLevel="0" collapsed="false">
      <c r="A51" s="8" t="n">
        <v>50</v>
      </c>
      <c r="B51" s="11" t="s">
        <v>1400</v>
      </c>
      <c r="C51" s="11" t="s">
        <v>1344</v>
      </c>
      <c r="D51" s="11" t="s">
        <v>1366</v>
      </c>
      <c r="E51" s="8" t="s">
        <v>3</v>
      </c>
      <c r="F51" s="8" t="s">
        <v>3</v>
      </c>
      <c r="G51" s="13"/>
    </row>
    <row r="52" customFormat="false" ht="15" hidden="false" customHeight="false" outlineLevel="0" collapsed="false">
      <c r="A52" s="8" t="n">
        <v>51</v>
      </c>
      <c r="B52" s="11" t="s">
        <v>1401</v>
      </c>
      <c r="C52" s="11" t="s">
        <v>1389</v>
      </c>
      <c r="D52" s="11" t="s">
        <v>1402</v>
      </c>
      <c r="E52" s="8" t="s">
        <v>3</v>
      </c>
      <c r="F52" s="8" t="s">
        <v>3</v>
      </c>
      <c r="G52" s="13"/>
    </row>
    <row r="53" customFormat="false" ht="15" hidden="false" customHeight="false" outlineLevel="0" collapsed="false">
      <c r="A53" s="8" t="n">
        <v>52</v>
      </c>
      <c r="B53" s="11" t="s">
        <v>1403</v>
      </c>
      <c r="C53" s="11" t="s">
        <v>1389</v>
      </c>
      <c r="D53" s="11" t="s">
        <v>1402</v>
      </c>
      <c r="E53" s="8" t="s">
        <v>3</v>
      </c>
      <c r="F53" s="8" t="s">
        <v>3</v>
      </c>
      <c r="G53" s="13"/>
    </row>
    <row r="54" customFormat="false" ht="15" hidden="false" customHeight="false" outlineLevel="0" collapsed="false">
      <c r="A54" s="8" t="n">
        <v>53</v>
      </c>
      <c r="B54" s="11" t="s">
        <v>1404</v>
      </c>
      <c r="C54" s="11" t="s">
        <v>1331</v>
      </c>
      <c r="D54" s="11" t="s">
        <v>1338</v>
      </c>
      <c r="E54" s="8" t="s">
        <v>3</v>
      </c>
      <c r="F54" s="8" t="s">
        <v>3</v>
      </c>
      <c r="G54" s="13"/>
    </row>
    <row r="55" customFormat="false" ht="15" hidden="false" customHeight="false" outlineLevel="0" collapsed="false">
      <c r="A55" s="8" t="n">
        <v>54</v>
      </c>
      <c r="B55" s="11" t="s">
        <v>1405</v>
      </c>
      <c r="C55" s="11" t="s">
        <v>1389</v>
      </c>
      <c r="D55" s="11" t="s">
        <v>1402</v>
      </c>
      <c r="E55" s="8" t="s">
        <v>3</v>
      </c>
      <c r="F55" s="8" t="s">
        <v>3</v>
      </c>
      <c r="G55" s="13"/>
    </row>
    <row r="56" customFormat="false" ht="15" hidden="false" customHeight="false" outlineLevel="0" collapsed="false">
      <c r="A56" s="8" t="n">
        <v>55</v>
      </c>
      <c r="B56" s="11" t="s">
        <v>1406</v>
      </c>
      <c r="C56" s="11" t="s">
        <v>1389</v>
      </c>
      <c r="D56" s="11" t="s">
        <v>1402</v>
      </c>
      <c r="E56" s="8" t="s">
        <v>3</v>
      </c>
      <c r="F56" s="8" t="s">
        <v>3</v>
      </c>
      <c r="G56" s="13"/>
    </row>
    <row r="57" customFormat="false" ht="15" hidden="false" customHeight="false" outlineLevel="0" collapsed="false">
      <c r="A57" s="8" t="n">
        <v>56</v>
      </c>
      <c r="B57" s="11" t="s">
        <v>1407</v>
      </c>
      <c r="C57" s="11" t="s">
        <v>1389</v>
      </c>
      <c r="D57" s="11" t="s">
        <v>1402</v>
      </c>
      <c r="E57" s="8" t="s">
        <v>3</v>
      </c>
      <c r="F57" s="8" t="s">
        <v>3</v>
      </c>
      <c r="G57" s="13"/>
    </row>
    <row r="58" customFormat="false" ht="15" hidden="false" customHeight="false" outlineLevel="0" collapsed="false">
      <c r="A58" s="8" t="n">
        <v>57</v>
      </c>
      <c r="B58" s="11" t="s">
        <v>1408</v>
      </c>
      <c r="C58" s="11" t="s">
        <v>1389</v>
      </c>
      <c r="D58" s="11" t="s">
        <v>1402</v>
      </c>
      <c r="E58" s="8" t="s">
        <v>3</v>
      </c>
      <c r="F58" s="8" t="s">
        <v>3</v>
      </c>
      <c r="G58" s="13"/>
    </row>
    <row r="59" customFormat="false" ht="15" hidden="false" customHeight="false" outlineLevel="0" collapsed="false">
      <c r="A59" s="8" t="n">
        <v>58</v>
      </c>
      <c r="B59" s="11" t="s">
        <v>1409</v>
      </c>
      <c r="C59" s="11" t="s">
        <v>1389</v>
      </c>
      <c r="D59" s="11" t="s">
        <v>1390</v>
      </c>
      <c r="E59" s="8" t="s">
        <v>3</v>
      </c>
      <c r="F59" s="8" t="s">
        <v>3</v>
      </c>
      <c r="G59" s="13"/>
    </row>
    <row r="60" customFormat="false" ht="15" hidden="false" customHeight="false" outlineLevel="0" collapsed="false">
      <c r="A60" s="8" t="n">
        <v>59</v>
      </c>
      <c r="B60" s="11" t="s">
        <v>1410</v>
      </c>
      <c r="C60" s="11" t="s">
        <v>1389</v>
      </c>
      <c r="D60" s="11" t="s">
        <v>1402</v>
      </c>
      <c r="E60" s="8" t="s">
        <v>3</v>
      </c>
      <c r="F60" s="8" t="s">
        <v>3</v>
      </c>
      <c r="G60" s="13"/>
    </row>
    <row r="61" customFormat="false" ht="15" hidden="false" customHeight="false" outlineLevel="0" collapsed="false">
      <c r="A61" s="8" t="n">
        <v>60</v>
      </c>
      <c r="B61" s="11" t="s">
        <v>1411</v>
      </c>
      <c r="C61" s="11" t="s">
        <v>1350</v>
      </c>
      <c r="D61" s="11" t="s">
        <v>1412</v>
      </c>
      <c r="E61" s="8" t="s">
        <v>3</v>
      </c>
      <c r="F61" s="8" t="s">
        <v>3</v>
      </c>
      <c r="G61" s="13"/>
    </row>
    <row r="62" customFormat="false" ht="15" hidden="false" customHeight="false" outlineLevel="0" collapsed="false">
      <c r="A62" s="8" t="n">
        <v>61</v>
      </c>
      <c r="B62" s="11" t="s">
        <v>1413</v>
      </c>
      <c r="C62" s="11" t="s">
        <v>1331</v>
      </c>
      <c r="D62" s="11" t="s">
        <v>1338</v>
      </c>
      <c r="E62" s="8" t="s">
        <v>3</v>
      </c>
      <c r="F62" s="8" t="s">
        <v>3</v>
      </c>
      <c r="G62" s="13"/>
    </row>
    <row r="63" customFormat="false" ht="15" hidden="false" customHeight="false" outlineLevel="0" collapsed="false">
      <c r="A63" s="8" t="n">
        <v>62</v>
      </c>
      <c r="B63" s="11" t="s">
        <v>1414</v>
      </c>
      <c r="C63" s="11" t="s">
        <v>1331</v>
      </c>
      <c r="D63" s="11" t="s">
        <v>1338</v>
      </c>
      <c r="E63" s="8" t="s">
        <v>3</v>
      </c>
      <c r="F63" s="8" t="s">
        <v>3</v>
      </c>
      <c r="G63" s="13"/>
    </row>
    <row r="65" customFormat="false" ht="15" hidden="false" customHeight="false" outlineLevel="0" collapsed="false">
      <c r="B65" s="2" t="s">
        <v>1415</v>
      </c>
    </row>
  </sheetData>
  <autoFilter ref="A1:G63"/>
  <dataValidations count="1">
    <dataValidation allowBlank="true" errorStyle="stop" operator="between" showDropDown="false" showErrorMessage="false" showInputMessage="false" sqref="G2:G6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2026-09-27T11:21:04Z</dcterms:created>
  <dc:creator>openpyxl</dc:creator>
  <dc:description/>
  <dc:language>en-US</dc:language>
  <cp:lastModifiedBy/>
  <dcterms:modified xsi:type="dcterms:W3CDTF">2026-09-27T11:21:04Z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